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1e27badc6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02f9f3ec3248c8"/>
    <x:sheet xmlns:r="http://schemas.openxmlformats.org/officeDocument/2006/relationships" name="Cocktails" sheetId="2" r:id="R29746f9741b54504"/>
    <x:sheet xmlns:r="http://schemas.openxmlformats.org/officeDocument/2006/relationships" name="RecipeSteps" sheetId="3" r:id="R0cbcad8a67734b24"/>
    <x:sheet xmlns:r="http://schemas.openxmlformats.org/officeDocument/2006/relationships" name="Ingredients" sheetId="4" r:id="R5889c820a7304940"/>
    <x:sheet xmlns:r="http://schemas.openxmlformats.org/officeDocument/2006/relationships" name="Glasses" sheetId="5" r:id="Rd46f4fce41ae438f"/>
    <x:sheet xmlns:r="http://schemas.openxmlformats.org/officeDocument/2006/relationships" name="Tools" sheetId="6" r:id="Ree01f586448a4019"/>
    <x:sheet xmlns:r="http://schemas.openxmlformats.org/officeDocument/2006/relationships" name="Garnishes" sheetId="7" r:id="R16dc16f829174c49"/>
    <x:sheet xmlns:r="http://schemas.openxmlformats.org/officeDocument/2006/relationships" name="Tags" sheetId="8" r:id="R9c747821ea814b66"/>
    <x:sheet xmlns:r="http://schemas.openxmlformats.org/officeDocument/2006/relationships" name="CocktailTags" sheetId="9" r:id="R8b14685639a7405f"/>
    <x:sheet xmlns:r="http://schemas.openxmlformats.org/officeDocument/2006/relationships" name="SystemConfig" sheetId="10" r:id="R8fdbc95fc1de4cf0"/>
    <x:sheet xmlns:r="http://schemas.openxmlformats.org/officeDocument/2006/relationships" name="GimmickRules" sheetId="11" r:id="R3dd6aa8d150b4be1"/>
    <x:sheet xmlns:r="http://schemas.openxmlformats.org/officeDocument/2006/relationships" name="ScoreRules" sheetId="12" r:id="R2a35f4f7e1e14979"/>
    <x:sheet xmlns:r="http://schemas.openxmlformats.org/officeDocument/2006/relationships" name="ScoreBands" sheetId="13" r:id="R37b8ad6caa0240f3"/>
    <x:sheet xmlns:r="http://schemas.openxmlformats.org/officeDocument/2006/relationships" name="GradeRules" sheetId="14" r:id="R370f768774964a07"/>
    <x:sheet xmlns:r="http://schemas.openxmlformats.org/officeDocument/2006/relationships" name="SettlementRules" sheetId="15" r:id="Rb5347e81403643fb"/>
    <x:sheet xmlns:r="http://schemas.openxmlformats.org/officeDocument/2006/relationships" name="Enums" sheetId="16" r:id="R521cd4f6c65d4c85"/>
    <x:sheet xmlns:r="http://schemas.openxmlformats.org/officeDocument/2006/relationships" name="MigrationMap" sheetId="17" r:id="Rdb7357259fc2483a"/>
    <x:sheet xmlns:r="http://schemas.openxmlformats.org/officeDocument/2006/relationships" name="LocalizationQA" sheetId="18" r:id="R067799b372224b85"/>
    <x:sheet xmlns:r="http://schemas.openxmlformats.org/officeDocument/2006/relationships" name="QA_Summary" sheetId="19" r:id="R355239569753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25364D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2A46"/>
      </x:patternFill>
    </x:fill>
    <x:fill>
      <x:patternFill patternType="solid">
        <x:fgColor rgb="FFFFF2CC"/>
      </x:patternFill>
    </x:fill>
    <x:fill>
      <x:patternFill patternType="solid">
        <x:fgColor rgb="FF1EA7A1"/>
      </x:patternFill>
    </x:fill>
  </x:fills>
  <x:borders count="2">
    <x:border/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704c1921f45a2" /><Relationship Type="http://schemas.openxmlformats.org/officeDocument/2006/relationships/theme" Target="/xl/theme/theme1.xml" Id="R124a899769d04c34" /><Relationship Type="http://schemas.microsoft.com/office/2022/11/relationships/FeaturePropertyBag" Target="/xl/featurePropertyBag/featurePropertyBag.xml" Id="R271af0f495a243d4" /><Relationship Type="http://schemas.openxmlformats.org/officeDocument/2006/relationships/sharedStrings" Target="/xl/sharedStrings.xml" Id="Re9b1740fd4cd46ed" /><Relationship Type="http://schemas.openxmlformats.org/officeDocument/2006/relationships/worksheet" Target="/xl/worksheets/sheet1.xml" Id="Re702f9f3ec3248c8" /><Relationship Type="http://schemas.openxmlformats.org/officeDocument/2006/relationships/worksheet" Target="/xl/worksheets/sheet2.xml" Id="R29746f9741b54504" /><Relationship Type="http://schemas.openxmlformats.org/officeDocument/2006/relationships/worksheet" Target="/xl/worksheets/sheet3.xml" Id="R0cbcad8a67734b24" /><Relationship Type="http://schemas.openxmlformats.org/officeDocument/2006/relationships/worksheet" Target="/xl/worksheets/sheet4.xml" Id="R5889c820a7304940" /><Relationship Type="http://schemas.openxmlformats.org/officeDocument/2006/relationships/worksheet" Target="/xl/worksheets/sheet5.xml" Id="Rd46f4fce41ae438f" /><Relationship Type="http://schemas.openxmlformats.org/officeDocument/2006/relationships/worksheet" Target="/xl/worksheets/sheet6.xml" Id="Ree01f586448a4019" /><Relationship Type="http://schemas.openxmlformats.org/officeDocument/2006/relationships/worksheet" Target="/xl/worksheets/sheet7.xml" Id="R16dc16f829174c49" /><Relationship Type="http://schemas.openxmlformats.org/officeDocument/2006/relationships/worksheet" Target="/xl/worksheets/sheet8.xml" Id="R9c747821ea814b66" /><Relationship Type="http://schemas.openxmlformats.org/officeDocument/2006/relationships/worksheet" Target="/xl/worksheets/sheet9.xml" Id="R8b14685639a7405f" /><Relationship Type="http://schemas.openxmlformats.org/officeDocument/2006/relationships/worksheet" Target="/xl/worksheets/sheet10.xml" Id="R8fdbc95fc1de4cf0" /><Relationship Type="http://schemas.openxmlformats.org/officeDocument/2006/relationships/worksheet" Target="/xl/worksheets/sheet11.xml" Id="R3dd6aa8d150b4be1" /><Relationship Type="http://schemas.openxmlformats.org/officeDocument/2006/relationships/worksheet" Target="/xl/worksheets/sheet12.xml" Id="R2a35f4f7e1e14979" /><Relationship Type="http://schemas.openxmlformats.org/officeDocument/2006/relationships/worksheet" Target="/xl/worksheets/sheet13.xml" Id="R37b8ad6caa0240f3" /><Relationship Type="http://schemas.openxmlformats.org/officeDocument/2006/relationships/worksheet" Target="/xl/worksheets/sheet14.xml" Id="R370f768774964a07" /><Relationship Type="http://schemas.openxmlformats.org/officeDocument/2006/relationships/worksheet" Target="/xl/worksheets/sheet15.xml" Id="Rb5347e81403643fb" /><Relationship Type="http://schemas.openxmlformats.org/officeDocument/2006/relationships/worksheet" Target="/xl/worksheets/sheet16.xml" Id="R521cd4f6c65d4c85" /><Relationship Type="http://schemas.openxmlformats.org/officeDocument/2006/relationships/worksheet" Target="/xl/worksheets/sheet17.xml" Id="Rdb7357259fc2483a" /><Relationship Type="http://schemas.openxmlformats.org/officeDocument/2006/relationships/worksheet" Target="/xl/worksheets/sheet18.xml" Id="R067799b372224b85" /><Relationship Type="http://schemas.openxmlformats.org/officeDocument/2006/relationships/worksheet" Target="/xl/worksheets/sheet19.xml" Id="R35523956975342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24" hidden="0" customWidth="1"/>
    <x:col min="4" max="4" width="48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" t="str">
        <x:v>Project L.U.N.A — Cocktail System Data Proposal v2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4">
      <x:c r="A4" s="5" t="str">
        <x:v>이 파일은 기존 정본 LUNA_System.xlsx를 덮지 않는 구조 제안본이다. build.py와 엔진 로더를 v2 계약에 맞게 개정한 뒤 마이그레이션한다.</x:v>
      </x:c>
      <x:c r="B4" s="5"/>
      <x:c r="C4" s="5"/>
      <x:c r="D4" s="5"/>
      <x:c r="E4" s="5"/>
      <x:c r="F4" s="5"/>
      <x:c r="G4" s="5"/>
    </x:row>
    <x:row r="6">
      <x:c r="A6" s="12" t="str">
        <x:v>핵심 원칙</x:v>
      </x:c>
      <x:c r="B6" s="12" t="str">
        <x:v>내용</x:v>
      </x:c>
      <x:c r="C6" s="12" t="str">
        <x:v>Core Principle</x:v>
      </x:c>
      <x:c r="D6" s="12" t="str">
        <x:v>Description</x:v>
      </x:c>
      <x:c r="E6" s="12" t="str">
        <x:v>상태</x:v>
      </x:c>
      <x:c r="F6" s="12" t="str">
        <x:v>검증 위치</x:v>
      </x:c>
      <x:c r="G6" s="12" t="str">
        <x:v>비고</x:v>
      </x:c>
    </x:row>
    <x:row r="7">
      <x:c r="A7" s="13" t="str">
        <x:v>단일 진실 원천</x:v>
      </x:c>
      <x:c r="B7" s="13" t="str">
        <x:v>핵심 재료와 태그를 한 셀에 중복 저장하지 않는다.</x:v>
      </x:c>
      <x:c r="C7" s="13" t="str">
        <x:v>Single source of truth</x:v>
      </x:c>
      <x:c r="D7" s="13" t="str">
        <x:v>Core ingredients and tags live in relation sheets, not packed cells.</x:v>
      </x:c>
      <x:c r="E7" s="13" t="str">
        <x:v>적용</x:v>
      </x:c>
      <x:c r="F7" s="13" t="str">
        <x:v>RecipeSteps / CocktailTags</x:v>
      </x:c>
      <x:c r="G7" s="13" t="str"/>
    </x:row>
    <x:row r="8">
      <x:c r="A8" s="13" t="str">
        <x:v>명확한 ID</x:v>
      </x:c>
      <x:c r="B8" s="13" t="str">
        <x:v>singular snake_case를 사용하고 none 같은 가짜 마스터 행을 두지 않는다.</x:v>
      </x:c>
      <x:c r="C8" s="13" t="str">
        <x:v>Explicit IDs</x:v>
      </x:c>
      <x:c r="D8" s="13" t="str">
        <x:v>Use singular snake_case IDs and represent no selection with null.</x:v>
      </x:c>
      <x:c r="E8" s="13" t="str">
        <x:v>적용</x:v>
      </x:c>
      <x:c r="F8" s="13" t="str">
        <x:v>MigrationMap</x:v>
      </x:c>
      <x:c r="G8" s="13" t="str"/>
    </x:row>
    <x:row r="9">
      <x:c r="A9" s="13" t="str">
        <x:v>Day 0</x:v>
      </x:c>
      <x:c r="B9" s="13" t="str">
        <x:v>튜토리얼을 story day 0으로 사용한다. 현행 엔진 전환 시에만 +1 한다.</x:v>
      </x:c>
      <x:c r="C9" s="13" t="str">
        <x:v>Day 0</x:v>
      </x:c>
      <x:c r="D9" s="13" t="str">
        <x:v>The tutorial is story day 0. Add 1 only for the legacy engine export.</x:v>
      </x:c>
      <x:c r="E9" s="13" t="str">
        <x:v>적용</x:v>
      </x:c>
      <x:c r="F9" s="13" t="str">
        <x:v>SystemConfig</x:v>
      </x:c>
      <x:c r="G9" s="13" t="str"/>
    </x:row>
    <x:row r="10">
      <x:c r="A10" s="13" t="str">
        <x:v>영문 대응</x:v>
      </x:c>
      <x:c r="B10" s="13" t="str">
        <x:v>플레이어 노출 문구는 ko/en 쌍이 모두 있어야 한다.</x:v>
      </x:c>
      <x:c r="C10" s="13" t="str">
        <x:v>English localization</x:v>
      </x:c>
      <x:c r="D10" s="13" t="str">
        <x:v>Every player-facing string must have both ko and en values.</x:v>
      </x:c>
      <x:c r="E10" s="13" t="str">
        <x:v>통과</x:v>
      </x:c>
      <x:c r="F10" s="13" t="str">
        <x:v>LocalizationQA</x:v>
      </x:c>
      <x:c r="G10" s="13" t="str">
        <x:v>누락 0건</x:v>
      </x:c>
    </x:row>
    <x:row r="11">
      <x:c r="A11" s="13" t="str">
        <x:v>런타임 분리</x:v>
      </x:c>
      <x:c r="B11" s="13" t="str">
        <x:v>Actual Craft는 마스터 데이터가 아니라 실행 중 생성되는 세션 JSON이다.</x:v>
      </x:c>
      <x:c r="C11" s="13" t="str">
        <x:v>Runtime separation</x:v>
      </x:c>
      <x:c r="D11" s="13" t="str">
        <x:v>Actual Craft is runtime session JSON, not authoring master data.</x:v>
      </x:c>
      <x:c r="E11" s="13" t="str">
        <x:v>적용</x:v>
      </x:c>
      <x:c r="F11" s="13" t="str">
        <x:v>별도 명세서</x:v>
      </x:c>
      <x:c r="G11" s="13" t="str"/>
    </x:row>
    <x:row r="12">
      <x:c r="A12" s="13" t="str">
        <x:v>점수 경계</x:v>
      </x:c>
      <x:c r="B12" s="13" t="str">
        <x:v>각 점수 구간이 최솟값과 최댓값을 포함하는지 열로 명시한다.</x:v>
      </x:c>
      <x:c r="C12" s="13" t="str">
        <x:v>Explicit score boundaries</x:v>
      </x:c>
      <x:c r="D12" s="13" t="str">
        <x:v>Each band explicitly declares inclusive and exclusive boundaries.</x:v>
      </x:c>
      <x:c r="E12" s="13" t="str">
        <x:v>적용</x:v>
      </x:c>
      <x:c r="F12" s="13" t="str">
        <x:v>ScoreBands</x:v>
      </x:c>
      <x:c r="G12" s="13" t="str"/>
    </x:row>
    <x:row r="14">
      <x:c r="A14" s="16" t="str">
        <x:v>시트</x:v>
      </x:c>
      <x:c r="B14" s="16" t="str">
        <x:v>역할</x:v>
      </x:c>
      <x:c r="C14" s="16" t="str">
        <x:v>수정 주체</x:v>
      </x:c>
    </x:row>
    <x:row r="15">
      <x:c r="A15" s="11" t="str">
        <x:v>Cocktails</x:v>
      </x:c>
      <x:c r="B15" s="11" t="str">
        <x:v>칵테일 기본 정보와 정답 잔·도구·얼음</x:v>
      </x:c>
      <x:c r="C15" s="11" t="str">
        <x:v>시스템 기획</x:v>
      </x:c>
    </x:row>
    <x:row r="16">
      <x:c r="A16" s="11" t="str">
        <x:v>RecipeSteps</x:v>
      </x:c>
      <x:c r="B16" s="11" t="str">
        <x:v>재료·순서·수량·필수 여부·채점 여부</x:v>
      </x:c>
      <x:c r="C16" s="11" t="str">
        <x:v>시스템 기획</x:v>
      </x:c>
    </x:row>
    <x:row r="17">
      <x:c r="A17" s="11" t="str">
        <x:v>Ingredients / Glasses / Tools / Garnishes</x:v>
      </x:c>
      <x:c r="B17" s="11" t="str">
        <x:v>마스터 사전</x:v>
      </x:c>
      <x:c r="C17" s="11" t="str">
        <x:v>시스템 기획+아트</x:v>
      </x:c>
    </x:row>
    <x:row r="18">
      <x:c r="A18" s="11" t="str">
        <x:v>Tags / CocktailTags</x:v>
      </x:c>
      <x:c r="B18" s="11" t="str">
        <x:v>필터 태그와 칵테일 연결</x:v>
      </x:c>
      <x:c r="C18" s="11" t="str">
        <x:v>UI·시스템 기획</x:v>
      </x:c>
    </x:row>
    <x:row r="19">
      <x:c r="A19" s="11" t="str">
        <x:v>SystemConfig / GimmickRules</x:v>
      </x:c>
      <x:c r="B19" s="11" t="str">
        <x:v>타이머·인내심·기믹 종료 규칙</x:v>
      </x:c>
      <x:c r="C19" s="11" t="str">
        <x:v>시스템 기획</x:v>
      </x:c>
    </x:row>
    <x:row r="20">
      <x:c r="A20" s="11" t="str">
        <x:v>ScoreRules / ScoreBands / GradeRules / SettlementRules</x:v>
      </x:c>
      <x:c r="B20" s="11" t="str">
        <x:v>점수와 정산</x:v>
      </x:c>
      <x:c r="C20" s="11" t="str">
        <x:v>밸런스 기획</x:v>
      </x:c>
    </x:row>
    <x:row r="21">
      <x:c r="A21" s="11" t="str">
        <x:v>LocalizationQA / QA_Summary</x:v>
      </x:c>
      <x:c r="B21" s="11" t="str">
        <x:v>영문 누락과 참조 오류 검사</x:v>
      </x:c>
      <x:c r="C21" s="11" t="str">
        <x:v>공통</x:v>
      </x:c>
    </x:row>
    <x:row r="22">
      <x:c r="A22" s="11" t="str">
        <x:v>MigrationMap</x:v>
      </x:c>
      <x:c r="B22" s="11" t="str">
        <x:v>구 ID에서 v2 ID로 변환</x:v>
      </x:c>
      <x:c r="C22" s="11" t="str">
        <x:v>프로그래밍</x:v>
      </x:c>
    </x:row>
  </x:sheetData>
  <x:mergeCells>
    <x:mergeCell ref="A1:G2"/>
    <x:mergeCell ref="A4:G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  <x:col min="10" max="10" width="22" hidden="0" customWidth="1"/>
    <x:col min="11" max="11" width="22" hidden="0" customWidth="1"/>
    <x:col min="12" max="12" width="22" hidden="0" customWidth="1"/>
    <x:col min="13" max="13" width="14" hidden="0" customWidth="1"/>
    <x:col min="14" max="14" width="14" hidden="0" customWidth="1"/>
    <x:col min="15" max="15" width="22" hidden="0" customWidth="1"/>
    <x:col min="16" max="16" width="22" hidden="0" customWidth="1"/>
    <x:col min="17" max="17" width="14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22" hidden="0" customWidth="1"/>
    <x:col min="23" max="23" width="22" hidden="0" customWidth="1"/>
    <x:col min="24" max="24" width="17" hidden="0" customWidth="1"/>
    <x:col min="25" max="25" width="34" hidden="0" customWidth="1"/>
    <x:col min="26" max="26" width="22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</x:cols>
  <x:sheetData>
    <x:row r="1" ht="28" customHeight="1">
      <x:c r="A1" s="19" t="str">
        <x:v>cocktail_id</x:v>
      </x:c>
      <x:c r="B1" s="19" t="str">
        <x:v>roster_status</x:v>
      </x:c>
      <x:c r="C1" s="19" t="str">
        <x:v>unlock_story_day</x:v>
      </x:c>
      <x:c r="D1" s="19" t="str">
        <x:v>menu_order</x:v>
      </x:c>
      <x:c r="E1" s="19" t="str">
        <x:v>order_weight</x:v>
      </x:c>
      <x:c r="F1" s="19" t="str">
        <x:v>name_ko</x:v>
      </x:c>
      <x:c r="G1" s="19" t="str">
        <x:v>name_en</x:v>
      </x:c>
      <x:c r="H1" s="19" t="str">
        <x:v>price</x:v>
      </x:c>
      <x:c r="I1" s="19" t="str">
        <x:v>abv_pct</x:v>
      </x:c>
      <x:c r="J1" s="19" t="str">
        <x:v>glass_id</x:v>
      </x:c>
      <x:c r="K1" s="19" t="str">
        <x:v>mix_tool_id</x:v>
      </x:c>
      <x:c r="L1" s="19" t="str">
        <x:v>garnish_id</x:v>
      </x:c>
      <x:c r="M1" s="19" t="str">
        <x:v>mixing_ice</x:v>
      </x:c>
      <x:c r="N1" s="19" t="str">
        <x:v>serving_ice</x:v>
      </x:c>
      <x:c r="O1" s="19" t="str">
        <x:v>liquid_color_start_hex</x:v>
      </x:c>
      <x:c r="P1" s="19" t="str">
        <x:v>liquid_color_end_hex</x:v>
      </x:c>
      <x:c r="Q1" s="19" t="str">
        <x:v>time_limit_sec</x:v>
      </x:c>
      <x:c r="R1" s="19" t="str">
        <x:v>flavor_ko</x:v>
      </x:c>
      <x:c r="S1" s="19" t="str">
        <x:v>flavor_en</x:v>
      </x:c>
      <x:c r="T1" s="19" t="str">
        <x:v>recipe_summary_ko</x:v>
      </x:c>
      <x:c r="U1" s="19" t="str">
        <x:v>recipe_summary_en</x:v>
      </x:c>
      <x:c r="V1" s="19" t="str">
        <x:v>menu_sprite_key</x:v>
      </x:c>
      <x:c r="W1" s="19" t="str">
        <x:v>serve_sprite_key</x:v>
      </x:c>
      <x:c r="X1" s="19" t="str">
        <x:v>data_status</x:v>
      </x:c>
      <x:c r="Y1" s="19" t="str">
        <x:v>review_note</x:v>
      </x:c>
      <x:c r="Z1" s="19" t="str">
        <x:v>qa_id</x:v>
      </x:c>
      <x:c r="AA1" s="19" t="str">
        <x:v>qa_l10n</x:v>
      </x:c>
      <x:c r="AB1" s="19" t="str">
        <x:v>qa_glass_fk</x:v>
      </x:c>
      <x:c r="AC1" s="19" t="str">
        <x:v>qa_tool_fk</x:v>
      </x:c>
      <x:c r="AD1" s="19" t="str">
        <x:v>qa_garnish_fk</x:v>
      </x:c>
    </x:row>
    <x:row r="2" ht="64.80000305175781" hidden="0" customHeight="1">
      <x:c r="A2" s="23" t="str">
        <x:v>dry_martini</x:v>
      </x:c>
      <x:c r="B2" s="23" t="str">
        <x:v>ACTIVE</x:v>
      </x:c>
      <x:c r="C2" s="23" t="n">
        <x:v>2</x:v>
      </x:c>
      <x:c r="D2" s="23" t="n">
        <x:v>1</x:v>
      </x:c>
      <x:c r="E2" s="23" t="n">
        <x:v>1</x:v>
      </x:c>
      <x:c r="F2" s="23" t="str">
        <x:v>드라이 마티니</x:v>
      </x:c>
      <x:c r="G2" s="23" t="str">
        <x:v>Dry Martini</x:v>
      </x:c>
      <x:c r="H2" s="23" t="n">
        <x:v>300</x:v>
      </x:c>
      <x:c r="I2" s="23" t="n">
        <x:v>30</x:v>
      </x:c>
      <x:c r="J2" s="23" t="str">
        <x:v>cocktail_glass</x:v>
      </x:c>
      <x:c r="K2" s="23" t="str">
        <x:v>mixing_glass</x:v>
      </x:c>
      <x:c r="L2" s="23" t="str">
        <x:v>olive</x:v>
      </x:c>
      <x:c r="M2" s="23" t="str">
        <x:v>CUBED</x:v>
      </x:c>
      <x:c r="N2" s="23" t="str">
        <x:v>NONE</x:v>
      </x:c>
      <x:c r="O2" s="23" t="str">
        <x:v>#E6E5C9</x:v>
      </x:c>
      <x:c r="P2" s="23" t="str">
        <x:v>#E6E5C9</x:v>
      </x:c>
      <x:c r="Q2" s="23" t="n">
        <x:v>44</x:v>
      </x:c>
      <x:c r="R2" s="23" t="str">
        <x:v>젓지 말고 흔들어서, 라고 말하는 손님을 조심할 것.</x:v>
      </x:c>
      <x:c r="S2" s="23" t="str">
        <x:v>Beware the customer who says 'shaken, not stirred.'</x:v>
      </x:c>
      <x:c r="T2" s="23" t="str">
        <x:v>진과 드라이 버무스를 따른 뒤 믹싱 글라스로 스터한다.</x:v>
      </x:c>
      <x:c r="U2" s="23" t="str">
        <x:v>Pour the gin and dry vermouth, then stir them in a mixing glass.</x:v>
      </x:c>
      <x:c r="V2" s="23" t="str">
        <x:v>Finished_DryMartini</x:v>
      </x:c>
      <x:c r="W2" s="23" t="str">
        <x:v>Serve_DryMartini</x:v>
      </x:c>
      <x:c r="X2" s="23" t="str">
        <x:v>CONFIRMED</x:v>
      </x:c>
      <x:c r="Y2" s="23" t="str">
        <x:v>기존 레시피 기반 설명문</x:v>
      </x:c>
      <x:c r="Z2" s="23" t="str">
        <x:f>IF(COUNTIF($A$2:$A$30,A2)=1,"OK","DUPLICATE")</x:f>
        <x:v>OK</x:v>
      </x:c>
      <x:c r="AA2" s="23" t="str">
        <x:f>IF(AND(F2&lt;&gt;"",G2&lt;&gt;"",R2&lt;&gt;"",S2&lt;&gt;"",T2&lt;&gt;"",U2&lt;&gt;""),"OK","MISSING")</x:f>
        <x:v>OK</x:v>
      </x:c>
      <x:c r="AB2" s="23" t="str">
        <x:f>IF(COUNTIF(Glasses!$A$2:$A$7,J2)=1,"OK","BAD_FK")</x:f>
        <x:v>OK</x:v>
      </x:c>
      <x:c r="AC2" s="23" t="str">
        <x:f>IF(K2="","OK",IF(COUNTIF(Tools!$A$2:$A$3,K2)=1,"OK","BAD_FK"))</x:f>
        <x:v>OK</x:v>
      </x:c>
      <x:c r="AD2" s="23" t="str">
        <x:f>IF(L2="","OK",IF(COUNTIF(Garnishes!$A$2:$A$6,L2)=1,"OK","BAD_FK"))</x:f>
        <x:v>OK</x:v>
      </x:c>
    </x:row>
    <x:row r="3" ht="97.19999694824219" hidden="0" customHeight="1">
      <x:c r="A3" s="23" t="str">
        <x:v>cosmopolitan</x:v>
      </x:c>
      <x:c r="B3" s="23" t="str">
        <x:v>ACTIVE</x:v>
      </x:c>
      <x:c r="C3" s="23" t="n">
        <x:v>3</x:v>
      </x:c>
      <x:c r="D3" s="23" t="n">
        <x:v>2</x:v>
      </x:c>
      <x:c r="E3" s="23" t="n">
        <x:v>1</x:v>
      </x:c>
      <x:c r="F3" s="23" t="str">
        <x:v>코스모폴리탄</x:v>
      </x:c>
      <x:c r="G3" s="23" t="str">
        <x:v>Cosmopolitan</x:v>
      </x:c>
      <x:c r="H3" s="23" t="n">
        <x:v>250</x:v>
      </x:c>
      <x:c r="I3" s="23" t="n">
        <x:v>20</x:v>
      </x:c>
      <x:c r="J3" s="23" t="str">
        <x:v>cocktail_glass</x:v>
      </x:c>
      <x:c r="K3" s="23" t="str">
        <x:v>shaker</x:v>
      </x:c>
      <x:c r="L3" s="23" t="str">
        <x:v>lemon_slice</x:v>
      </x:c>
      <x:c r="M3" s="23" t="str">
        <x:v>CUBED</x:v>
      </x:c>
      <x:c r="N3" s="23" t="str">
        <x:v>NONE</x:v>
      </x:c>
      <x:c r="O3" s="23" t="str">
        <x:v>#DB6D5C</x:v>
      </x:c>
      <x:c r="P3" s="23" t="str">
        <x:v>#DB6D5C</x:v>
      </x:c>
      <x:c r="Q3" s="23" t="n">
        <x:v>60</x:v>
      </x:c>
      <x:c r="R3" s="23" t="str">
        <x:v>도시적인 붉은 빛. 유행은 지나가도 맛은 남는다.</x:v>
      </x:c>
      <x:c r="S3" s="23" t="str">
        <x:v>Urban red. Trends pass; the taste stays.</x:v>
      </x:c>
      <x:c r="T3" s="23" t="str">
        <x:v>보드카·쿠앵트로·크랜베리주스를 따르고 라임을 스퀴즈한 뒤 셰이크한다.</x:v>
      </x:c>
      <x:c r="U3" s="23" t="str">
        <x:v>Pour the vodka, Cointreau, and cranberry juice, squeeze the lime, then shake.</x:v>
      </x:c>
      <x:c r="V3" s="23" t="str">
        <x:v>Finished_Cosmopolitan</x:v>
      </x:c>
      <x:c r="W3" s="23" t="str">
        <x:v>Serve_Cosmopolitan</x:v>
      </x:c>
      <x:c r="X3" s="23" t="str">
        <x:v>CONFIRMED</x:v>
      </x:c>
      <x:c r="Y3" s="23" t="str">
        <x:v>기존 레시피 기반 설명문</x:v>
      </x:c>
      <x:c r="Z3" s="23" t="str">
        <x:f>IF(COUNTIF($A$2:$A$30,A3)=1,"OK","DUPLICATE")</x:f>
        <x:v>OK</x:v>
      </x:c>
      <x:c r="AA3" s="23" t="str">
        <x:f>IF(AND(F3&lt;&gt;"",G3&lt;&gt;"",R3&lt;&gt;"",S3&lt;&gt;"",T3&lt;&gt;"",U3&lt;&gt;""),"OK","MISSING")</x:f>
        <x:v>OK</x:v>
      </x:c>
      <x:c r="AB3" s="23" t="str">
        <x:f>IF(COUNTIF(Glasses!$A$2:$A$7,J3)=1,"OK","BAD_FK")</x:f>
        <x:v>OK</x:v>
      </x:c>
      <x:c r="AC3" s="23" t="str">
        <x:f>IF(K3="","OK",IF(COUNTIF(Tools!$A$2:$A$3,K3)=1,"OK","BAD_FK"))</x:f>
        <x:v>OK</x:v>
      </x:c>
      <x:c r="AD3" s="23" t="str">
        <x:f>IF(L3="","OK",IF(COUNTIF(Garnishes!$A$2:$A$6,L3)=1,"OK","BAD_FK"))</x:f>
        <x:v>OK</x:v>
      </x:c>
    </x:row>
    <x:row r="4" ht="75.5999984741211" hidden="0" customHeight="1">
      <x:c r="A4" s="23" t="str">
        <x:v>gin_fizz</x:v>
      </x:c>
      <x:c r="B4" s="23" t="str">
        <x:v>ACTIVE</x:v>
      </x:c>
      <x:c r="C4" s="23" t="n">
        <x:v>0</x:v>
      </x:c>
      <x:c r="D4" s="23" t="n">
        <x:v>3</x:v>
      </x:c>
      <x:c r="E4" s="23" t="n">
        <x:v>1</x:v>
      </x:c>
      <x:c r="F4" s="23" t="str">
        <x:v>진피즈</x:v>
      </x:c>
      <x:c r="G4" s="23" t="str">
        <x:v>Gin Fizz</x:v>
      </x:c>
      <x:c r="H4" s="23" t="n">
        <x:v>220</x:v>
      </x:c>
      <x:c r="I4" s="23" t="n">
        <x:v>8</x:v>
      </x:c>
      <x:c r="J4" s="23" t="str">
        <x:v>long_drink_glass</x:v>
      </x:c>
      <x:c r="K4" s="23" t="str">
        <x:v>shaker</x:v>
      </x:c>
      <x:c r="L4" s="23" t="str">
        <x:v>lemon_slice</x:v>
      </x:c>
      <x:c r="M4" s="23" t="str">
        <x:v>CUBED</x:v>
      </x:c>
      <x:c r="N4" s="23" t="str">
        <x:v>CUBED</x:v>
      </x:c>
      <x:c r="O4" s="23" t="str">
        <x:v>#FFFFFF</x:v>
      </x:c>
      <x:c r="P4" s="23" t="str">
        <x:v>#FFFFFF</x:v>
      </x:c>
      <x:c r="Q4" s="23" t="n">
        <x:v>52</x:v>
      </x:c>
      <x:c r="R4" s="23" t="str">
        <x:v>진과 레몬, 그리고 '피즈' 하는 탄산 소리.</x:v>
      </x:c>
      <x:c r="S4" s="23" t="str">
        <x:v>Gin, lemon, and that 'fizz' of carbonation.</x:v>
      </x:c>
      <x:c r="T4" s="23" t="str">
        <x:v>진을 따르고 레몬을 스퀴즈한 뒤 설탕을 넣어 셰이크하고 소다수로 필업한다.</x:v>
      </x:c>
      <x:c r="U4" s="23" t="str">
        <x:v>Pour the gin, squeeze the lemon, add sugar, shake, then top with soda water.</x:v>
      </x:c>
      <x:c r="V4" s="23" t="str">
        <x:v>Finished_GinFizz</x:v>
      </x:c>
      <x:c r="W4" s="23" t="str">
        <x:v>Serve_GinFizz</x:v>
      </x:c>
      <x:c r="X4" s="23" t="str">
        <x:v>CONFIRMED</x:v>
      </x:c>
      <x:c r="Y4" s="23" t="str">
        <x:v>기존 레시피 기반 설명문</x:v>
      </x:c>
      <x:c r="Z4" s="23" t="str">
        <x:f>IF(COUNTIF($A$2:$A$30,A4)=1,"OK","DUPLICATE")</x:f>
        <x:v>OK</x:v>
      </x:c>
      <x:c r="AA4" s="23" t="str">
        <x:f>IF(AND(F4&lt;&gt;"",G4&lt;&gt;"",R4&lt;&gt;"",S4&lt;&gt;"",T4&lt;&gt;"",U4&lt;&gt;""),"OK","MISSING")</x:f>
        <x:v>OK</x:v>
      </x:c>
      <x:c r="AB4" s="23" t="str">
        <x:f>IF(COUNTIF(Glasses!$A$2:$A$7,J4)=1,"OK","BAD_FK")</x:f>
        <x:v>OK</x:v>
      </x:c>
      <x:c r="AC4" s="23" t="str">
        <x:f>IF(K4="","OK",IF(COUNTIF(Tools!$A$2:$A$3,K4)=1,"OK","BAD_FK"))</x:f>
        <x:v>OK</x:v>
      </x:c>
      <x:c r="AD4" s="23" t="str">
        <x:f>IF(L4="","OK",IF(COUNTIF(Garnishes!$A$2:$A$6,L4)=1,"OK","BAD_FK"))</x:f>
        <x:v>OK</x:v>
      </x:c>
    </x:row>
    <x:row r="5" ht="43.20000076293945" hidden="0" customHeight="1">
      <x:c r="A5" s="23" t="str">
        <x:v>kahlua_milk</x:v>
      </x:c>
      <x:c r="B5" s="23" t="str">
        <x:v>ACTIVE</x:v>
      </x:c>
      <x:c r="C5" s="23" t="n">
        <x:v>4</x:v>
      </x:c>
      <x:c r="D5" s="23" t="n">
        <x:v>4</x:v>
      </x:c>
      <x:c r="E5" s="23" t="n">
        <x:v>1</x:v>
      </x:c>
      <x:c r="F5" s="23" t="str">
        <x:v>깔루아 밀크</x:v>
      </x:c>
      <x:c r="G5" s="23" t="str">
        <x:v>Kahlua Milk</x:v>
      </x:c>
      <x:c r="H5" s="23" t="n">
        <x:v>150</x:v>
      </x:c>
      <x:c r="I5" s="23" t="n">
        <x:v>7</x:v>
      </x:c>
      <x:c r="J5" s="23" t="str">
        <x:v>old_fashioned_glass</x:v>
      </x:c>
      <x:c r="K5" s="23" t="str"/>
      <x:c r="L5" s="23" t="str"/>
      <x:c r="M5" s="23" t="str">
        <x:v>NONE</x:v>
      </x:c>
      <x:c r="N5" s="23" t="str">
        <x:v>CUBED</x:v>
      </x:c>
      <x:c r="O5" s="23" t="str">
        <x:v>#9FA277</x:v>
      </x:c>
      <x:c r="P5" s="23" t="str">
        <x:v>#9FA277</x:v>
      </x:c>
      <x:c r="Q5" s="23" t="n">
        <x:v>44</x:v>
      </x:c>
      <x:c r="R5" s="23" t="str">
        <x:v>커피와 우유와 약간의 알코올. 고양이도 탐내는 맛.</x:v>
      </x:c>
      <x:c r="S5" s="23" t="str">
        <x:v>Coffee, milk, a little alcohol. Even cats covet it.</x:v>
      </x:c>
      <x:c r="T5" s="23" t="str">
        <x:v>칼루아와 우유를 차례로 따른다.</x:v>
      </x:c>
      <x:c r="U5" s="23" t="str">
        <x:v>Pour the Kahlua and milk in order.</x:v>
      </x:c>
      <x:c r="V5" s="23" t="str">
        <x:v>Finished_KahluaMilk</x:v>
      </x:c>
      <x:c r="W5" s="23" t="str">
        <x:v>Serve_KahluaMilk</x:v>
      </x:c>
      <x:c r="X5" s="23" t="str">
        <x:v>CONFIRMED</x:v>
      </x:c>
      <x:c r="Y5" s="23" t="str">
        <x:v>기존 레시피 기반 설명문</x:v>
      </x:c>
      <x:c r="Z5" s="23" t="str">
        <x:f>IF(COUNTIF($A$2:$A$30,A5)=1,"OK","DUPLICATE")</x:f>
        <x:v>OK</x:v>
      </x:c>
      <x:c r="AA5" s="23" t="str">
        <x:f>IF(AND(F5&lt;&gt;"",G5&lt;&gt;"",R5&lt;&gt;"",S5&lt;&gt;"",T5&lt;&gt;"",U5&lt;&gt;""),"OK","MISSING")</x:f>
        <x:v>OK</x:v>
      </x:c>
      <x:c r="AB5" s="23" t="str">
        <x:f>IF(COUNTIF(Glasses!$A$2:$A$7,J5)=1,"OK","BAD_FK")</x:f>
        <x:v>OK</x:v>
      </x:c>
      <x:c r="AC5" s="23" t="str">
        <x:f>IF(K5="","OK",IF(COUNTIF(Tools!$A$2:$A$3,K5)=1,"OK","BAD_FK"))</x:f>
        <x:v>OK</x:v>
      </x:c>
      <x:c r="AD5" s="23" t="str">
        <x:f>IF(L5="","OK",IF(COUNTIF(Garnishes!$A$2:$A$6,L5)=1,"OK","BAD_FK"))</x:f>
        <x:v>OK</x:v>
      </x:c>
    </x:row>
    <x:row r="6" ht="54" hidden="0" customHeight="1">
      <x:c r="A6" s="23" t="str">
        <x:v>gin_tonic</x:v>
      </x:c>
      <x:c r="B6" s="23" t="str">
        <x:v>ACTIVE</x:v>
      </x:c>
      <x:c r="C6" s="23" t="n">
        <x:v>0</x:v>
      </x:c>
      <x:c r="D6" s="23" t="n">
        <x:v>5</x:v>
      </x:c>
      <x:c r="E6" s="23" t="n">
        <x:v>1</x:v>
      </x:c>
      <x:c r="F6" s="23" t="str">
        <x:v>진토닉</x:v>
      </x:c>
      <x:c r="G6" s="23" t="str">
        <x:v>Gin &amp; Tonic</x:v>
      </x:c>
      <x:c r="H6" s="23" t="n">
        <x:v>180</x:v>
      </x:c>
      <x:c r="I6" s="23" t="n">
        <x:v>8</x:v>
      </x:c>
      <x:c r="J6" s="23" t="str">
        <x:v>long_drink_glass</x:v>
      </x:c>
      <x:c r="K6" s="23" t="str"/>
      <x:c r="L6" s="23" t="str">
        <x:v>lime_wedge</x:v>
      </x:c>
      <x:c r="M6" s="23" t="str">
        <x:v>NONE</x:v>
      </x:c>
      <x:c r="N6" s="23" t="str">
        <x:v>CUBED</x:v>
      </x:c>
      <x:c r="O6" s="23" t="str">
        <x:v>#FFFFFF</x:v>
      </x:c>
      <x:c r="P6" s="23" t="str">
        <x:v>#FFFFFF</x:v>
      </x:c>
      <x:c r="Q6" s="23" t="n">
        <x:v>36</x:v>
      </x:c>
      <x:c r="R6" s="23" t="str">
        <x:v>진과 토닉워터. 가장 단순해서 가장 정직한 칵테일.</x:v>
      </x:c>
      <x:c r="S6" s="23" t="str">
        <x:v>Gin and tonic. The simplest, and therefore the most honest.</x:v>
      </x:c>
      <x:c r="T6" s="23" t="str">
        <x:v>진을 따른 뒤 토닉워터로 필업한다.</x:v>
      </x:c>
      <x:c r="U6" s="23" t="str">
        <x:v>Pour the gin, then top with tonic water.</x:v>
      </x:c>
      <x:c r="V6" s="23" t="str">
        <x:v>Finished_GinTonic</x:v>
      </x:c>
      <x:c r="W6" s="23" t="str">
        <x:v>Serve_GinTonic</x:v>
      </x:c>
      <x:c r="X6" s="23" t="str">
        <x:v>CONFIRMED</x:v>
      </x:c>
      <x:c r="Y6" s="23" t="str">
        <x:v>기존 레시피 기반 설명문</x:v>
      </x:c>
      <x:c r="Z6" s="23" t="str">
        <x:f>IF(COUNTIF($A$2:$A$30,A6)=1,"OK","DUPLICATE")</x:f>
        <x:v>OK</x:v>
      </x:c>
      <x:c r="AA6" s="23" t="str">
        <x:f>IF(AND(F6&lt;&gt;"",G6&lt;&gt;"",R6&lt;&gt;"",S6&lt;&gt;"",T6&lt;&gt;"",U6&lt;&gt;""),"OK","MISSING")</x:f>
        <x:v>OK</x:v>
      </x:c>
      <x:c r="AB6" s="23" t="str">
        <x:f>IF(COUNTIF(Glasses!$A$2:$A$7,J6)=1,"OK","BAD_FK")</x:f>
        <x:v>OK</x:v>
      </x:c>
      <x:c r="AC6" s="23" t="str">
        <x:f>IF(K6="","OK",IF(COUNTIF(Tools!$A$2:$A$3,K6)=1,"OK","BAD_FK"))</x:f>
        <x:v>OK</x:v>
      </x:c>
      <x:c r="AD6" s="23" t="str">
        <x:f>IF(L6="","OK",IF(COUNTIF(Garnishes!$A$2:$A$6,L6)=1,"OK","BAD_FK"))</x:f>
        <x:v>OK</x:v>
      </x:c>
    </x:row>
    <x:row r="7" ht="43.20000076293945" hidden="0" customHeight="1">
      <x:c r="A7" s="23" t="str">
        <x:v>red_wine</x:v>
      </x:c>
      <x:c r="B7" s="23" t="str">
        <x:v>ACTIVE</x:v>
      </x:c>
      <x:c r="C7" s="23" t="n">
        <x:v>0</x:v>
      </x:c>
      <x:c r="D7" s="23" t="n">
        <x:v>6</x:v>
      </x:c>
      <x:c r="E7" s="23" t="n">
        <x:v>1</x:v>
      </x:c>
      <x:c r="F7" s="23" t="str">
        <x:v>레드와인</x:v>
      </x:c>
      <x:c r="G7" s="23" t="str">
        <x:v>Red Wine</x:v>
      </x:c>
      <x:c r="H7" s="23" t="n">
        <x:v>220</x:v>
      </x:c>
      <x:c r="I7" s="23" t="n">
        <x:v>13</x:v>
      </x:c>
      <x:c r="J7" s="23" t="str">
        <x:v>wine_glass</x:v>
      </x:c>
      <x:c r="K7" s="23" t="str"/>
      <x:c r="L7" s="23" t="str"/>
      <x:c r="M7" s="23" t="str">
        <x:v>NONE</x:v>
      </x:c>
      <x:c r="N7" s="23" t="str">
        <x:v>NONE</x:v>
      </x:c>
      <x:c r="O7" s="23" t="str">
        <x:v>#620F0B</x:v>
      </x:c>
      <x:c r="P7" s="23" t="str">
        <x:v>#620F0B</x:v>
      </x:c>
      <x:c r="Q7" s="23" t="n">
        <x:v>36</x:v>
      </x:c>
      <x:c r="R7" s="23" t="str">
        <x:v>말이 필요 없는 클래식한 한 잔.</x:v>
      </x:c>
      <x:c r="S7" s="23" t="str">
        <x:v>A classic glass that needs no introduction.</x:v>
      </x:c>
      <x:c r="T7" s="23" t="str">
        <x:v>레드와인을 따른다.</x:v>
      </x:c>
      <x:c r="U7" s="23" t="str">
        <x:v>Pour the red wine.</x:v>
      </x:c>
      <x:c r="V7" s="23" t="str">
        <x:v>Finished_RedWine</x:v>
      </x:c>
      <x:c r="W7" s="23" t="str">
        <x:v>Serve_RedWine</x:v>
      </x:c>
      <x:c r="X7" s="23" t="str">
        <x:v>CONFIRMED</x:v>
      </x:c>
      <x:c r="Y7" s="23" t="str">
        <x:v>기존 레시피 기반 설명문</x:v>
      </x:c>
      <x:c r="Z7" s="23" t="str">
        <x:f>IF(COUNTIF($A$2:$A$30,A7)=1,"OK","DUPLICATE")</x:f>
        <x:v>OK</x:v>
      </x:c>
      <x:c r="AA7" s="23" t="str">
        <x:f>IF(AND(F7&lt;&gt;"",G7&lt;&gt;"",R7&lt;&gt;"",S7&lt;&gt;"",T7&lt;&gt;"",U7&lt;&gt;""),"OK","MISSING")</x:f>
        <x:v>OK</x:v>
      </x:c>
      <x:c r="AB7" s="23" t="str">
        <x:f>IF(COUNTIF(Glasses!$A$2:$A$7,J7)=1,"OK","BAD_FK")</x:f>
        <x:v>OK</x:v>
      </x:c>
      <x:c r="AC7" s="23" t="str">
        <x:f>IF(K7="","OK",IF(COUNTIF(Tools!$A$2:$A$3,K7)=1,"OK","BAD_FK"))</x:f>
        <x:v>OK</x:v>
      </x:c>
      <x:c r="AD7" s="23" t="str">
        <x:f>IF(L7="","OK",IF(COUNTIF(Garnishes!$A$2:$A$6,L7)=1,"OK","BAD_FK"))</x:f>
        <x:v>OK</x:v>
      </x:c>
    </x:row>
    <x:row r="8" ht="64.80000305175781" hidden="0" customHeight="1">
      <x:c r="A8" s="23" t="str">
        <x:v>bottle_beer</x:v>
      </x:c>
      <x:c r="B8" s="23" t="str">
        <x:v>ACTIVE</x:v>
      </x:c>
      <x:c r="C8" s="23" t="n">
        <x:v>0</x:v>
      </x:c>
      <x:c r="D8" s="23" t="n">
        <x:v>7</x:v>
      </x:c>
      <x:c r="E8" s="23" t="n">
        <x:v>1</x:v>
      </x:c>
      <x:c r="F8" s="23" t="str">
        <x:v>병맥주</x:v>
      </x:c>
      <x:c r="G8" s="23" t="str">
        <x:v>Bottled Beer</x:v>
      </x:c>
      <x:c r="H8" s="23" t="n">
        <x:v>90</x:v>
      </x:c>
      <x:c r="I8" s="23" t="n">
        <x:v>4.5</x:v>
      </x:c>
      <x:c r="J8" s="23" t="str">
        <x:v>beer_mug</x:v>
      </x:c>
      <x:c r="K8" s="23" t="str"/>
      <x:c r="L8" s="23" t="str"/>
      <x:c r="M8" s="23" t="str">
        <x:v>NONE</x:v>
      </x:c>
      <x:c r="N8" s="23" t="str">
        <x:v>NONE</x:v>
      </x:c>
      <x:c r="O8" s="23" t="str">
        <x:v>#CAA204</x:v>
      </x:c>
      <x:c r="P8" s="23" t="str">
        <x:v>#CAA204</x:v>
      </x:c>
      <x:c r="Q8" s="23" t="n">
        <x:v>28</x:v>
      </x:c>
      <x:c r="R8" s="23" t="str">
        <x:v>병째로. 뚜껑 따는 소리가 안주다.</x:v>
      </x:c>
      <x:c r="S8" s="23" t="str">
        <x:v>Straight from the bottle. The pop of the cap is the appetizer.</x:v>
      </x:c>
      <x:c r="T8" s="23" t="str">
        <x:v>병뚜껑을 개봉한 뒤 병맥주를 따른다.</x:v>
      </x:c>
      <x:c r="U8" s="23" t="str">
        <x:v>Open the bottle cap, then pour the beer.</x:v>
      </x:c>
      <x:c r="V8" s="23" t="str">
        <x:v>Finished_BottleBeer</x:v>
      </x:c>
      <x:c r="W8" s="23" t="str">
        <x:v>Serve_BottleBeer</x:v>
      </x:c>
      <x:c r="X8" s="23" t="str">
        <x:v>CONFIRMED</x:v>
      </x:c>
      <x:c r="Y8" s="23" t="str">
        <x:v>기존 레시피 기반 설명문</x:v>
      </x:c>
      <x:c r="Z8" s="23" t="str">
        <x:f>IF(COUNTIF($A$2:$A$30,A8)=1,"OK","DUPLICATE")</x:f>
        <x:v>OK</x:v>
      </x:c>
      <x:c r="AA8" s="23" t="str">
        <x:f>IF(AND(F8&lt;&gt;"",G8&lt;&gt;"",R8&lt;&gt;"",S8&lt;&gt;"",T8&lt;&gt;"",U8&lt;&gt;""),"OK","MISSING")</x:f>
        <x:v>OK</x:v>
      </x:c>
      <x:c r="AB8" s="23" t="str">
        <x:f>IF(COUNTIF(Glasses!$A$2:$A$7,J8)=1,"OK","BAD_FK")</x:f>
        <x:v>OK</x:v>
      </x:c>
      <x:c r="AC8" s="23" t="str">
        <x:f>IF(K8="","OK",IF(COUNTIF(Tools!$A$2:$A$3,K8)=1,"OK","BAD_FK"))</x:f>
        <x:v>OK</x:v>
      </x:c>
      <x:c r="AD8" s="23" t="str">
        <x:f>IF(L8="","OK",IF(COUNTIF(Garnishes!$A$2:$A$6,L8)=1,"OK","BAD_FK"))</x:f>
        <x:v>OK</x:v>
      </x:c>
    </x:row>
    <x:row r="9" ht="54" hidden="0" customHeight="1">
      <x:c r="A9" s="23" t="str">
        <x:v>champagne</x:v>
      </x:c>
      <x:c r="B9" s="23" t="str">
        <x:v>ACTIVE</x:v>
      </x:c>
      <x:c r="C9" s="23" t="n">
        <x:v>0</x:v>
      </x:c>
      <x:c r="D9" s="23" t="n">
        <x:v>8</x:v>
      </x:c>
      <x:c r="E9" s="23" t="n">
        <x:v>1</x:v>
      </x:c>
      <x:c r="F9" s="23" t="str">
        <x:v>샴페인</x:v>
      </x:c>
      <x:c r="G9" s="23" t="str">
        <x:v>Champagne</x:v>
      </x:c>
      <x:c r="H9" s="23" t="n">
        <x:v>350</x:v>
      </x:c>
      <x:c r="I9" s="23" t="n">
        <x:v>12</x:v>
      </x:c>
      <x:c r="J9" s="23" t="str">
        <x:v>wine_glass</x:v>
      </x:c>
      <x:c r="K9" s="23" t="str"/>
      <x:c r="L9" s="23" t="str"/>
      <x:c r="M9" s="23" t="str">
        <x:v>NONE</x:v>
      </x:c>
      <x:c r="N9" s="23" t="str">
        <x:v>NONE</x:v>
      </x:c>
      <x:c r="O9" s="23" t="str">
        <x:v>#FFF5E1</x:v>
      </x:c>
      <x:c r="P9" s="23" t="str">
        <x:v>#FFF5E1</x:v>
      </x:c>
      <x:c r="Q9" s="23" t="n">
        <x:v>36</x:v>
      </x:c>
      <x:c r="R9" s="23" t="str">
        <x:v>기포가 올라오는 동안은 누구나 주인공.</x:v>
      </x:c>
      <x:c r="S9" s="23" t="str">
        <x:v>While the bubbles rise, everyone's the main character.</x:v>
      </x:c>
      <x:c r="T9" s="23" t="str">
        <x:v>샴페인을 따른다.</x:v>
      </x:c>
      <x:c r="U9" s="23" t="str">
        <x:v>Pour the champagne.</x:v>
      </x:c>
      <x:c r="V9" s="23" t="str">
        <x:v>Finished_Champagne</x:v>
      </x:c>
      <x:c r="W9" s="23" t="str">
        <x:v>Serve_Champagne</x:v>
      </x:c>
      <x:c r="X9" s="23" t="str">
        <x:v>CONFIRMED</x:v>
      </x:c>
      <x:c r="Y9" s="23" t="str">
        <x:v>기존 레시피 기반 설명문</x:v>
      </x:c>
      <x:c r="Z9" s="23" t="str">
        <x:f>IF(COUNTIF($A$2:$A$30,A9)=1,"OK","DUPLICATE")</x:f>
        <x:v>OK</x:v>
      </x:c>
      <x:c r="AA9" s="23" t="str">
        <x:f>IF(AND(F9&lt;&gt;"",G9&lt;&gt;"",R9&lt;&gt;"",S9&lt;&gt;"",T9&lt;&gt;"",U9&lt;&gt;""),"OK","MISSING")</x:f>
        <x:v>OK</x:v>
      </x:c>
      <x:c r="AB9" s="23" t="str">
        <x:f>IF(COUNTIF(Glasses!$A$2:$A$7,J9)=1,"OK","BAD_FK")</x:f>
        <x:v>OK</x:v>
      </x:c>
      <x:c r="AC9" s="23" t="str">
        <x:f>IF(K9="","OK",IF(COUNTIF(Tools!$A$2:$A$3,K9)=1,"OK","BAD_FK"))</x:f>
        <x:v>OK</x:v>
      </x:c>
      <x:c r="AD9" s="23" t="str">
        <x:f>IF(L9="","OK",IF(COUNTIF(Garnishes!$A$2:$A$6,L9)=1,"OK","BAD_FK"))</x:f>
        <x:v>OK</x:v>
      </x:c>
    </x:row>
    <x:row r="10" ht="54" hidden="0" customHeight="1">
      <x:c r="A10" s="23" t="str">
        <x:v>screwdriver</x:v>
      </x:c>
      <x:c r="B10" s="23" t="str">
        <x:v>ACTIVE</x:v>
      </x:c>
      <x:c r="C10" s="23" t="n">
        <x:v>1</x:v>
      </x:c>
      <x:c r="D10" s="23" t="n">
        <x:v>9</x:v>
      </x:c>
      <x:c r="E10" s="23" t="n">
        <x:v>1</x:v>
      </x:c>
      <x:c r="F10" s="23" t="str">
        <x:v>스크류드라이버</x:v>
      </x:c>
      <x:c r="G10" s="23" t="str">
        <x:v>Screwdriver</x:v>
      </x:c>
      <x:c r="H10" s="23" t="n">
        <x:v>190</x:v>
      </x:c>
      <x:c r="I10" s="23" t="n">
        <x:v>12</x:v>
      </x:c>
      <x:c r="J10" s="23" t="str">
        <x:v>long_drink_glass</x:v>
      </x:c>
      <x:c r="K10" s="23" t="str"/>
      <x:c r="L10" s="23" t="str"/>
      <x:c r="M10" s="23" t="str">
        <x:v>NONE</x:v>
      </x:c>
      <x:c r="N10" s="23" t="str">
        <x:v>CUBED</x:v>
      </x:c>
      <x:c r="O10" s="23" t="str">
        <x:v>#ECDF5F</x:v>
      </x:c>
      <x:c r="P10" s="23" t="str">
        <x:v>#ECDF5F</x:v>
      </x:c>
      <x:c r="Q10" s="23" t="n">
        <x:v>44</x:v>
      </x:c>
      <x:c r="R10" s="23" t="str">
        <x:v>보드카와 오렌지주스. 이름은 공구, 맛은 과일.</x:v>
      </x:c>
      <x:c r="S10" s="23" t="str">
        <x:v>Vodka and orange juice. Named after a tool, tastes like fruit.</x:v>
      </x:c>
      <x:c r="T10" s="23" t="str">
        <x:v>보드카와 오렌지주스를 차례로 따른다.</x:v>
      </x:c>
      <x:c r="U10" s="23" t="str">
        <x:v>Pour the vodka and orange juice in order.</x:v>
      </x:c>
      <x:c r="V10" s="23" t="str">
        <x:v>Finished_Screwdriver</x:v>
      </x:c>
      <x:c r="W10" s="23" t="str">
        <x:v>Serve_Screwdriver</x:v>
      </x:c>
      <x:c r="X10" s="23" t="str">
        <x:v>CONFIRMED</x:v>
      </x:c>
      <x:c r="Y10" s="23" t="str">
        <x:v>기존 레시피 기반 설명문</x:v>
      </x:c>
      <x:c r="Z10" s="23" t="str">
        <x:f>IF(COUNTIF($A$2:$A$30,A10)=1,"OK","DUPLICATE")</x:f>
        <x:v>OK</x:v>
      </x:c>
      <x:c r="AA10" s="23" t="str">
        <x:f>IF(AND(F10&lt;&gt;"",G10&lt;&gt;"",R10&lt;&gt;"",S10&lt;&gt;"",T10&lt;&gt;"",U10&lt;&gt;""),"OK","MISSING")</x:f>
        <x:v>OK</x:v>
      </x:c>
      <x:c r="AB10" s="23" t="str">
        <x:f>IF(COUNTIF(Glasses!$A$2:$A$7,J10)=1,"OK","BAD_FK")</x:f>
        <x:v>OK</x:v>
      </x:c>
      <x:c r="AC10" s="23" t="str">
        <x:f>IF(K10="","OK",IF(COUNTIF(Tools!$A$2:$A$3,K10)=1,"OK","BAD_FK"))</x:f>
        <x:v>OK</x:v>
      </x:c>
      <x:c r="AD10" s="23" t="str">
        <x:f>IF(L10="","OK",IF(COUNTIF(Garnishes!$A$2:$A$6,L10)=1,"OK","BAD_FK"))</x:f>
        <x:v>OK</x:v>
      </x:c>
    </x:row>
    <x:row r="11" ht="64.80000305175781" hidden="0" customHeight="1">
      <x:c r="A11" s="23" t="str">
        <x:v>moscow_mule</x:v>
      </x:c>
      <x:c r="B11" s="23" t="str">
        <x:v>ACTIVE</x:v>
      </x:c>
      <x:c r="C11" s="23" t="n">
        <x:v>1</x:v>
      </x:c>
      <x:c r="D11" s="23" t="n">
        <x:v>10</x:v>
      </x:c>
      <x:c r="E11" s="23" t="n">
        <x:v>1</x:v>
      </x:c>
      <x:c r="F11" s="23" t="str">
        <x:v>모스코뮬</x:v>
      </x:c>
      <x:c r="G11" s="23" t="str">
        <x:v>Moscow Mule</x:v>
      </x:c>
      <x:c r="H11" s="23" t="n">
        <x:v>210</x:v>
      </x:c>
      <x:c r="I11" s="23" t="n">
        <x:v>10</x:v>
      </x:c>
      <x:c r="J11" s="23" t="str">
        <x:v>beer_mug</x:v>
      </x:c>
      <x:c r="K11" s="23" t="str"/>
      <x:c r="L11" s="23" t="str">
        <x:v>lime_wedge</x:v>
      </x:c>
      <x:c r="M11" s="23" t="str">
        <x:v>NONE</x:v>
      </x:c>
      <x:c r="N11" s="23" t="str">
        <x:v>CUBED</x:v>
      </x:c>
      <x:c r="O11" s="23" t="str">
        <x:v>#D7A302</x:v>
      </x:c>
      <x:c r="P11" s="23" t="str">
        <x:v>#D7A302</x:v>
      </x:c>
      <x:c r="Q11" s="23" t="n">
        <x:v>44</x:v>
      </x:c>
      <x:c r="R11" s="23" t="str">
        <x:v>생강의 알싸함이 노새의 뒷발차기 같다고 해서 뮬.</x:v>
      </x:c>
      <x:c r="S11" s="23" t="str">
        <x:v>The ginger kick they say feels like a mule's hind leg.</x:v>
      </x:c>
      <x:c r="T11" s="23" t="str">
        <x:v>보드카를 따르고 라임을 스퀴즈한 뒤 진저에일로 필업한다.</x:v>
      </x:c>
      <x:c r="U11" s="23" t="str">
        <x:v>Pour the vodka, squeeze the lime, then top with ginger ale.</x:v>
      </x:c>
      <x:c r="V11" s="23" t="str">
        <x:v>Finished_MoscowMule</x:v>
      </x:c>
      <x:c r="W11" s="23" t="str">
        <x:v>Serve_MoscowMule</x:v>
      </x:c>
      <x:c r="X11" s="23" t="str">
        <x:v>CONFIRMED</x:v>
      </x:c>
      <x:c r="Y11" s="23" t="str">
        <x:v>기존 레시피 기반 설명문</x:v>
      </x:c>
      <x:c r="Z11" s="23" t="str">
        <x:f>IF(COUNTIF($A$2:$A$30,A11)=1,"OK","DUPLICATE")</x:f>
        <x:v>OK</x:v>
      </x:c>
      <x:c r="AA11" s="23" t="str">
        <x:f>IF(AND(F11&lt;&gt;"",G11&lt;&gt;"",R11&lt;&gt;"",S11&lt;&gt;"",T11&lt;&gt;"",U11&lt;&gt;""),"OK","MISSING")</x:f>
        <x:v>OK</x:v>
      </x:c>
      <x:c r="AB11" s="23" t="str">
        <x:f>IF(COUNTIF(Glasses!$A$2:$A$7,J11)=1,"OK","BAD_FK")</x:f>
        <x:v>OK</x:v>
      </x:c>
      <x:c r="AC11" s="23" t="str">
        <x:f>IF(K11="","OK",IF(COUNTIF(Tools!$A$2:$A$3,K11)=1,"OK","BAD_FK"))</x:f>
        <x:v>OK</x:v>
      </x:c>
      <x:c r="AD11" s="23" t="str">
        <x:f>IF(L11="","OK",IF(COUNTIF(Garnishes!$A$2:$A$6,L11)=1,"OK","BAD_FK"))</x:f>
        <x:v>OK</x:v>
      </x:c>
    </x:row>
    <x:row r="12" ht="75.5999984741211" hidden="0" customHeight="1">
      <x:c r="A12" s="23" t="str">
        <x:v>tequila_sunrise</x:v>
      </x:c>
      <x:c r="B12" s="23" t="str">
        <x:v>ACTIVE</x:v>
      </x:c>
      <x:c r="C12" s="23" t="n">
        <x:v>1</x:v>
      </x:c>
      <x:c r="D12" s="23" t="n">
        <x:v>11</x:v>
      </x:c>
      <x:c r="E12" s="23" t="n">
        <x:v>1</x:v>
      </x:c>
      <x:c r="F12" s="23" t="str">
        <x:v>데킬라 선라이즈</x:v>
      </x:c>
      <x:c r="G12" s="23" t="str">
        <x:v>Tequila Sunrise</x:v>
      </x:c>
      <x:c r="H12" s="23" t="n">
        <x:v>200</x:v>
      </x:c>
      <x:c r="I12" s="23" t="n">
        <x:v>12</x:v>
      </x:c>
      <x:c r="J12" s="23" t="str">
        <x:v>long_drink_glass</x:v>
      </x:c>
      <x:c r="K12" s="23" t="str"/>
      <x:c r="L12" s="23" t="str">
        <x:v>orange_slice</x:v>
      </x:c>
      <x:c r="M12" s="23" t="str">
        <x:v>NONE</x:v>
      </x:c>
      <x:c r="N12" s="23" t="str">
        <x:v>CUBED</x:v>
      </x:c>
      <x:c r="O12" s="23" t="str">
        <x:v>#FDA130</x:v>
      </x:c>
      <x:c r="P12" s="23" t="str">
        <x:v>#FDA130</x:v>
      </x:c>
      <x:c r="Q12" s="23" t="n">
        <x:v>44</x:v>
      </x:c>
      <x:c r="R12" s="23" t="str">
        <x:v>잔 속에서 해가 뜬다. 새벽의 바에서 제일 잘 팔리는 아침.</x:v>
      </x:c>
      <x:c r="S12" s="23" t="str">
        <x:v>A sunrise inside a glass. The best-selling morning at a late-night bar.</x:v>
      </x:c>
      <x:c r="T12" s="23" t="str">
        <x:v>데킬라와 오렌지주스를 차례로 따른다.</x:v>
      </x:c>
      <x:c r="U12" s="23" t="str">
        <x:v>Pour the tequila and orange juice in order.</x:v>
      </x:c>
      <x:c r="V12" s="23" t="str">
        <x:v>Finished_TequilaSunrise</x:v>
      </x:c>
      <x:c r="W12" s="23" t="str">
        <x:v>Serve_TequilaSunrise</x:v>
      </x:c>
      <x:c r="X12" s="23" t="str">
        <x:v>CONFIRMED</x:v>
      </x:c>
      <x:c r="Y12" s="23" t="str">
        <x:v>기존 레시피 기반 설명문</x:v>
      </x:c>
      <x:c r="Z12" s="23" t="str">
        <x:f>IF(COUNTIF($A$2:$A$30,A12)=1,"OK","DUPLICATE")</x:f>
        <x:v>OK</x:v>
      </x:c>
      <x:c r="AA12" s="23" t="str">
        <x:f>IF(AND(F12&lt;&gt;"",G12&lt;&gt;"",R12&lt;&gt;"",S12&lt;&gt;"",T12&lt;&gt;"",U12&lt;&gt;""),"OK","MISSING")</x:f>
        <x:v>OK</x:v>
      </x:c>
      <x:c r="AB12" s="23" t="str">
        <x:f>IF(COUNTIF(Glasses!$A$2:$A$7,J12)=1,"OK","BAD_FK")</x:f>
        <x:v>OK</x:v>
      </x:c>
      <x:c r="AC12" s="23" t="str">
        <x:f>IF(K12="","OK",IF(COUNTIF(Tools!$A$2:$A$3,K12)=1,"OK","BAD_FK"))</x:f>
        <x:v>OK</x:v>
      </x:c>
      <x:c r="AD12" s="23" t="str">
        <x:f>IF(L12="","OK",IF(COUNTIF(Garnishes!$A$2:$A$6,L12)=1,"OK","BAD_FK"))</x:f>
        <x:v>OK</x:v>
      </x:c>
    </x:row>
    <x:row r="13" ht="108" hidden="0" customHeight="1">
      <x:c r="A13" s="23" t="str">
        <x:v>godfather</x:v>
      </x:c>
      <x:c r="B13" s="23" t="str">
        <x:v>ACTIVE</x:v>
      </x:c>
      <x:c r="C13" s="23" t="n">
        <x:v>5</x:v>
      </x:c>
      <x:c r="D13" s="23" t="n">
        <x:v>12</x:v>
      </x:c>
      <x:c r="E13" s="23" t="n">
        <x:v>1</x:v>
      </x:c>
      <x:c r="F13" s="23" t="str">
        <x:v>갓파더</x:v>
      </x:c>
      <x:c r="G13" s="23" t="str">
        <x:v>Godfather</x:v>
      </x:c>
      <x:c r="H13" s="23" t="n">
        <x:v>230</x:v>
      </x:c>
      <x:c r="I13" s="23" t="n">
        <x:v>28</x:v>
      </x:c>
      <x:c r="J13" s="23" t="str">
        <x:v>old_fashioned_glass</x:v>
      </x:c>
      <x:c r="K13" s="23" t="str">
        <x:v>mixing_glass</x:v>
      </x:c>
      <x:c r="L13" s="23" t="str"/>
      <x:c r="M13" s="23" t="str">
        <x:v>CUBED</x:v>
      </x:c>
      <x:c r="N13" s="23" t="str">
        <x:v>CUBED</x:v>
      </x:c>
      <x:c r="O13" s="23" t="str">
        <x:v>#DE9634</x:v>
      </x:c>
      <x:c r="P13" s="23" t="str">
        <x:v>#DE9634</x:v>
      </x:c>
      <x:c r="Q13" s="23" t="n">
        <x:v>44</x:v>
      </x:c>
      <x:c r="R13" s="23" t="str">
        <x:v>위스키와 아마레토. 짧고 묵직한 두 재료의 대화.</x:v>
      </x:c>
      <x:c r="S13" s="23" t="str">
        <x:v>Whiskey and amaretto. A short, weighty conversation between two spirits.</x:v>
      </x:c>
      <x:c r="T13" s="23" t="str">
        <x:v>상세 재료 순서와 목표 수량 확정 후 제조방법 설명문을 완성한다.</x:v>
      </x:c>
      <x:c r="U13" s="23" t="str">
        <x:v>Complete this preparation summary after the ingredient order and target quantities are finalized.</x:v>
      </x:c>
      <x:c r="V13" s="23" t="str"/>
      <x:c r="W13" s="23" t="str"/>
      <x:c r="X13" s="23" t="str">
        <x:v>NEEDS_RECIPE</x:v>
      </x:c>
      <x:c r="Y13" s="23" t="str">
        <x:v>신규 로스터 상세 qty/unit 및 설명문 검토 필요</x:v>
      </x:c>
      <x:c r="Z13" s="23" t="str">
        <x:f>IF(COUNTIF($A$2:$A$30,A13)=1,"OK","DUPLICATE")</x:f>
        <x:v>OK</x:v>
      </x:c>
      <x:c r="AA13" s="23" t="str">
        <x:f>IF(AND(F13&lt;&gt;"",G13&lt;&gt;"",R13&lt;&gt;"",S13&lt;&gt;"",T13&lt;&gt;"",U13&lt;&gt;""),"OK","MISSING")</x:f>
        <x:v>OK</x:v>
      </x:c>
      <x:c r="AB13" s="23" t="str">
        <x:f>IF(COUNTIF(Glasses!$A$2:$A$7,J13)=1,"OK","BAD_FK")</x:f>
        <x:v>OK</x:v>
      </x:c>
      <x:c r="AC13" s="23" t="str">
        <x:f>IF(K13="","OK",IF(COUNTIF(Tools!$A$2:$A$3,K13)=1,"OK","BAD_FK"))</x:f>
        <x:v>OK</x:v>
      </x:c>
      <x:c r="AD13" s="23" t="str">
        <x:f>IF(L13="","OK",IF(COUNTIF(Garnishes!$A$2:$A$6,L13)=1,"OK","BAD_FK"))</x:f>
        <x:v>OK</x:v>
      </x:c>
    </x:row>
    <x:row r="14" ht="108" hidden="0" customHeight="1">
      <x:c r="A14" s="23" t="str">
        <x:v>godmother</x:v>
      </x:c>
      <x:c r="B14" s="23" t="str">
        <x:v>ACTIVE</x:v>
      </x:c>
      <x:c r="C14" s="23" t="n">
        <x:v>5</x:v>
      </x:c>
      <x:c r="D14" s="23" t="n">
        <x:v>13</x:v>
      </x:c>
      <x:c r="E14" s="23" t="n">
        <x:v>1</x:v>
      </x:c>
      <x:c r="F14" s="23" t="str">
        <x:v>갓마더</x:v>
      </x:c>
      <x:c r="G14" s="23" t="str">
        <x:v>Godmother</x:v>
      </x:c>
      <x:c r="H14" s="23" t="n">
        <x:v>220</x:v>
      </x:c>
      <x:c r="I14" s="23" t="n">
        <x:v>22</x:v>
      </x:c>
      <x:c r="J14" s="23" t="str">
        <x:v>old_fashioned_glass</x:v>
      </x:c>
      <x:c r="K14" s="23" t="str">
        <x:v>mixing_glass</x:v>
      </x:c>
      <x:c r="L14" s="23" t="str"/>
      <x:c r="M14" s="23" t="str">
        <x:v>CUBED</x:v>
      </x:c>
      <x:c r="N14" s="23" t="str">
        <x:v>CUBED</x:v>
      </x:c>
      <x:c r="O14" s="23" t="str">
        <x:v>#E8BC66</x:v>
      </x:c>
      <x:c r="P14" s="23" t="str">
        <x:v>#E8BC66</x:v>
      </x:c>
      <x:c r="Q14" s="23" t="n">
        <x:v>44</x:v>
      </x:c>
      <x:c r="R14" s="23" t="str">
        <x:v>보드카의 깨끗함에 아마레토의 단맛을 얹는다.</x:v>
      </x:c>
      <x:c r="S14" s="23" t="str">
        <x:v>Clean vodka softened by the sweetness of amaretto.</x:v>
      </x:c>
      <x:c r="T14" s="23" t="str">
        <x:v>상세 재료 순서와 목표 수량 확정 후 제조방법 설명문을 완성한다.</x:v>
      </x:c>
      <x:c r="U14" s="23" t="str">
        <x:v>Complete this preparation summary after the ingredient order and target quantities are finalized.</x:v>
      </x:c>
      <x:c r="V14" s="23" t="str"/>
      <x:c r="W14" s="23" t="str"/>
      <x:c r="X14" s="23" t="str">
        <x:v>NEEDS_RECIPE</x:v>
      </x:c>
      <x:c r="Y14" s="23" t="str">
        <x:v>신규 로스터 상세 qty/unit 및 설명문 검토 필요</x:v>
      </x:c>
      <x:c r="Z14" s="23" t="str">
        <x:f>IF(COUNTIF($A$2:$A$30,A14)=1,"OK","DUPLICATE")</x:f>
        <x:v>OK</x:v>
      </x:c>
      <x:c r="AA14" s="23" t="str">
        <x:f>IF(AND(F14&lt;&gt;"",G14&lt;&gt;"",R14&lt;&gt;"",S14&lt;&gt;"",T14&lt;&gt;"",U14&lt;&gt;""),"OK","MISSING")</x:f>
        <x:v>OK</x:v>
      </x:c>
      <x:c r="AB14" s="23" t="str">
        <x:f>IF(COUNTIF(Glasses!$A$2:$A$7,J14)=1,"OK","BAD_FK")</x:f>
        <x:v>OK</x:v>
      </x:c>
      <x:c r="AC14" s="23" t="str">
        <x:f>IF(K14="","OK",IF(COUNTIF(Tools!$A$2:$A$3,K14)=1,"OK","BAD_FK"))</x:f>
        <x:v>OK</x:v>
      </x:c>
      <x:c r="AD14" s="23" t="str">
        <x:f>IF(L14="","OK",IF(COUNTIF(Garnishes!$A$2:$A$6,L14)=1,"OK","BAD_FK"))</x:f>
        <x:v>OK</x:v>
      </x:c>
    </x:row>
    <x:row r="15" ht="108" hidden="0" customHeight="1">
      <x:c r="A15" s="23" t="str">
        <x:v>french_connection</x:v>
      </x:c>
      <x:c r="B15" s="23" t="str">
        <x:v>ACTIVE</x:v>
      </x:c>
      <x:c r="C15" s="23" t="n">
        <x:v>5</x:v>
      </x:c>
      <x:c r="D15" s="23" t="n">
        <x:v>14</x:v>
      </x:c>
      <x:c r="E15" s="23" t="n">
        <x:v>1</x:v>
      </x:c>
      <x:c r="F15" s="23" t="str">
        <x:v>프렌치 커넥션</x:v>
      </x:c>
      <x:c r="G15" s="23" t="str">
        <x:v>French Connection</x:v>
      </x:c>
      <x:c r="H15" s="23" t="n">
        <x:v>240</x:v>
      </x:c>
      <x:c r="I15" s="23" t="n">
        <x:v>30</x:v>
      </x:c>
      <x:c r="J15" s="23" t="str">
        <x:v>old_fashioned_glass</x:v>
      </x:c>
      <x:c r="K15" s="23" t="str"/>
      <x:c r="L15" s="23" t="str"/>
      <x:c r="M15" s="23" t="str">
        <x:v>NONE</x:v>
      </x:c>
      <x:c r="N15" s="23" t="str">
        <x:v>CUBED</x:v>
      </x:c>
      <x:c r="O15" s="23" t="str">
        <x:v>#C87828</x:v>
      </x:c>
      <x:c r="P15" s="23" t="str">
        <x:v>#C87828</x:v>
      </x:c>
      <x:c r="Q15" s="23" t="n">
        <x:v>44</x:v>
      </x:c>
      <x:c r="R15" s="23" t="str">
        <x:v>브랜디와 아마레토가 만드는 깊고 느린 단맛.</x:v>
      </x:c>
      <x:c r="S15" s="23" t="str">
        <x:v>Brandy and amaretto create a deep, lingering sweetness.</x:v>
      </x:c>
      <x:c r="T15" s="23" t="str">
        <x:v>상세 재료 순서와 목표 수량 확정 후 제조방법 설명문을 완성한다.</x:v>
      </x:c>
      <x:c r="U15" s="23" t="str">
        <x:v>Complete this preparation summary after the ingredient order and target quantities are finalized.</x:v>
      </x:c>
      <x:c r="V15" s="23" t="str"/>
      <x:c r="W15" s="23" t="str"/>
      <x:c r="X15" s="23" t="str">
        <x:v>NEEDS_RECIPE</x:v>
      </x:c>
      <x:c r="Y15" s="23" t="str">
        <x:v>신규 로스터 상세 qty/unit 및 설명문 검토 필요</x:v>
      </x:c>
      <x:c r="Z15" s="23" t="str">
        <x:f>IF(COUNTIF($A$2:$A$30,A15)=1,"OK","DUPLICATE")</x:f>
        <x:v>OK</x:v>
      </x:c>
      <x:c r="AA15" s="23" t="str">
        <x:f>IF(AND(F15&lt;&gt;"",G15&lt;&gt;"",R15&lt;&gt;"",S15&lt;&gt;"",T15&lt;&gt;"",U15&lt;&gt;""),"OK","MISSING")</x:f>
        <x:v>OK</x:v>
      </x:c>
      <x:c r="AB15" s="23" t="str">
        <x:f>IF(COUNTIF(Glasses!$A$2:$A$7,J15)=1,"OK","BAD_FK")</x:f>
        <x:v>OK</x:v>
      </x:c>
      <x:c r="AC15" s="23" t="str">
        <x:f>IF(K15="","OK",IF(COUNTIF(Tools!$A$2:$A$3,K15)=1,"OK","BAD_FK"))</x:f>
        <x:v>OK</x:v>
      </x:c>
      <x:c r="AD15" s="23" t="str">
        <x:f>IF(L15="","OK",IF(COUNTIF(Garnishes!$A$2:$A$6,L15)=1,"OK","BAD_FK"))</x:f>
        <x:v>OK</x:v>
      </x:c>
    </x:row>
    <x:row r="16" ht="64.80000305175781" hidden="0" customHeight="1">
      <x:c r="A16" s="23" t="str">
        <x:v>whiskey_sour</x:v>
      </x:c>
      <x:c r="B16" s="23" t="str">
        <x:v>ACTIVE</x:v>
      </x:c>
      <x:c r="C16" s="23" t="n">
        <x:v>2</x:v>
      </x:c>
      <x:c r="D16" s="23" t="n">
        <x:v>15</x:v>
      </x:c>
      <x:c r="E16" s="23" t="n">
        <x:v>1</x:v>
      </x:c>
      <x:c r="F16" s="23" t="str">
        <x:v>위스키 사워</x:v>
      </x:c>
      <x:c r="G16" s="23" t="str">
        <x:v>Whiskey Sour</x:v>
      </x:c>
      <x:c r="H16" s="23" t="n">
        <x:v>240</x:v>
      </x:c>
      <x:c r="I16" s="23" t="n">
        <x:v>15</x:v>
      </x:c>
      <x:c r="J16" s="23" t="str">
        <x:v>sour_glass</x:v>
      </x:c>
      <x:c r="K16" s="23" t="str">
        <x:v>shaker</x:v>
      </x:c>
      <x:c r="L16" s="23" t="str">
        <x:v>cherry</x:v>
      </x:c>
      <x:c r="M16" s="23" t="str">
        <x:v>CUBED</x:v>
      </x:c>
      <x:c r="N16" s="23" t="str">
        <x:v>NONE</x:v>
      </x:c>
      <x:c r="O16" s="23" t="str">
        <x:v>#F3D090</x:v>
      </x:c>
      <x:c r="P16" s="23" t="str">
        <x:v>#F3D090</x:v>
      </x:c>
      <x:c r="Q16" s="23" t="n">
        <x:v>52</x:v>
      </x:c>
      <x:c r="R16" s="23" t="str">
        <x:v>위스키의 무게에 레몬의 균형.</x:v>
      </x:c>
      <x:c r="S16" s="23" t="str">
        <x:v>The weight of whiskey, balanced by lemon.</x:v>
      </x:c>
      <x:c r="T16" s="23" t="str">
        <x:v>위스키를 따르고 레몬과 설탕을 넣어 셰이크한 뒤 사워믹스로 필업한다.</x:v>
      </x:c>
      <x:c r="U16" s="23" t="str">
        <x:v>Pour the whiskey, add lemon and sugar, shake, then top with sour mix.</x:v>
      </x:c>
      <x:c r="V16" s="23" t="str">
        <x:v>Finished_WhiskeySour</x:v>
      </x:c>
      <x:c r="W16" s="23" t="str">
        <x:v>Serve_WhiskeySour</x:v>
      </x:c>
      <x:c r="X16" s="23" t="str">
        <x:v>CONFIRMED</x:v>
      </x:c>
      <x:c r="Y16" s="23" t="str">
        <x:v>기존 레시피 기반 설명문</x:v>
      </x:c>
      <x:c r="Z16" s="23" t="str">
        <x:f>IF(COUNTIF($A$2:$A$30,A16)=1,"OK","DUPLICATE")</x:f>
        <x:v>OK</x:v>
      </x:c>
      <x:c r="AA16" s="23" t="str">
        <x:f>IF(AND(F16&lt;&gt;"",G16&lt;&gt;"",R16&lt;&gt;"",S16&lt;&gt;"",T16&lt;&gt;"",U16&lt;&gt;""),"OK","MISSING")</x:f>
        <x:v>OK</x:v>
      </x:c>
      <x:c r="AB16" s="23" t="str">
        <x:f>IF(COUNTIF(Glasses!$A$2:$A$7,J16)=1,"OK","BAD_FK")</x:f>
        <x:v>OK</x:v>
      </x:c>
      <x:c r="AC16" s="23" t="str">
        <x:f>IF(K16="","OK",IF(COUNTIF(Tools!$A$2:$A$3,K16)=1,"OK","BAD_FK"))</x:f>
        <x:v>OK</x:v>
      </x:c>
      <x:c r="AD16" s="23" t="str">
        <x:f>IF(L16="","OK",IF(COUNTIF(Garnishes!$A$2:$A$6,L16)=1,"OK","BAD_FK"))</x:f>
        <x:v>OK</x:v>
      </x:c>
    </x:row>
    <x:row r="17" ht="108" hidden="0" customHeight="1">
      <x:c r="A17" s="23" t="str">
        <x:v>brandy_sour</x:v>
      </x:c>
      <x:c r="B17" s="23" t="str">
        <x:v>ACTIVE</x:v>
      </x:c>
      <x:c r="C17" s="23" t="n">
        <x:v>5</x:v>
      </x:c>
      <x:c r="D17" s="23" t="n">
        <x:v>16</x:v>
      </x:c>
      <x:c r="E17" s="23" t="n">
        <x:v>1</x:v>
      </x:c>
      <x:c r="F17" s="23" t="str">
        <x:v>브랜디 사워</x:v>
      </x:c>
      <x:c r="G17" s="23" t="str">
        <x:v>Brandy Sour</x:v>
      </x:c>
      <x:c r="H17" s="23" t="n">
        <x:v>250</x:v>
      </x:c>
      <x:c r="I17" s="23" t="n">
        <x:v>15</x:v>
      </x:c>
      <x:c r="J17" s="23" t="str">
        <x:v>sour_glass</x:v>
      </x:c>
      <x:c r="K17" s="23" t="str">
        <x:v>shaker</x:v>
      </x:c>
      <x:c r="L17" s="23" t="str">
        <x:v>cherry</x:v>
      </x:c>
      <x:c r="M17" s="23" t="str">
        <x:v>CUBED</x:v>
      </x:c>
      <x:c r="N17" s="23" t="str">
        <x:v>NONE</x:v>
      </x:c>
      <x:c r="O17" s="23" t="str">
        <x:v>#D49200</x:v>
      </x:c>
      <x:c r="P17" s="23" t="str">
        <x:v>#D49200</x:v>
      </x:c>
      <x:c r="Q17" s="23" t="n">
        <x:v>52</x:v>
      </x:c>
      <x:c r="R17" s="23" t="str">
        <x:v>브랜디의 온기에 레몬과 설탕으로 균형을 잡는다.</x:v>
      </x:c>
      <x:c r="S17" s="23" t="str">
        <x:v>Warm brandy balanced with lemon and sugar.</x:v>
      </x:c>
      <x:c r="T17" s="23" t="str">
        <x:v>상세 재료 순서와 목표 수량 확정 후 제조방법 설명문을 완성한다.</x:v>
      </x:c>
      <x:c r="U17" s="23" t="str">
        <x:v>Complete this preparation summary after the ingredient order and target quantities are finalized.</x:v>
      </x:c>
      <x:c r="V17" s="23" t="str"/>
      <x:c r="W17" s="23" t="str"/>
      <x:c r="X17" s="23" t="str">
        <x:v>NEEDS_RECIPE</x:v>
      </x:c>
      <x:c r="Y17" s="23" t="str">
        <x:v>신규 로스터 상세 qty/unit 및 설명문 검토 필요</x:v>
      </x:c>
      <x:c r="Z17" s="23" t="str">
        <x:f>IF(COUNTIF($A$2:$A$30,A17)=1,"OK","DUPLICATE")</x:f>
        <x:v>OK</x:v>
      </x:c>
      <x:c r="AA17" s="23" t="str">
        <x:f>IF(AND(F17&lt;&gt;"",G17&lt;&gt;"",R17&lt;&gt;"",S17&lt;&gt;"",T17&lt;&gt;"",U17&lt;&gt;""),"OK","MISSING")</x:f>
        <x:v>OK</x:v>
      </x:c>
      <x:c r="AB17" s="23" t="str">
        <x:f>IF(COUNTIF(Glasses!$A$2:$A$7,J17)=1,"OK","BAD_FK")</x:f>
        <x:v>OK</x:v>
      </x:c>
      <x:c r="AC17" s="23" t="str">
        <x:f>IF(K17="","OK",IF(COUNTIF(Tools!$A$2:$A$3,K17)=1,"OK","BAD_FK"))</x:f>
        <x:v>OK</x:v>
      </x:c>
      <x:c r="AD17" s="23" t="str">
        <x:f>IF(L17="","OK",IF(COUNTIF(Garnishes!$A$2:$A$6,L17)=1,"OK","BAD_FK"))</x:f>
        <x:v>OK</x:v>
      </x:c>
    </x:row>
    <x:row r="18" ht="64.80000305175781" hidden="0" customHeight="1">
      <x:c r="A18" s="23" t="str">
        <x:v>margarita</x:v>
      </x:c>
      <x:c r="B18" s="23" t="str">
        <x:v>ACTIVE</x:v>
      </x:c>
      <x:c r="C18" s="23" t="n">
        <x:v>4</x:v>
      </x:c>
      <x:c r="D18" s="23" t="n">
        <x:v>17</x:v>
      </x:c>
      <x:c r="E18" s="23" t="n">
        <x:v>1</x:v>
      </x:c>
      <x:c r="F18" s="23" t="str">
        <x:v>마가리타</x:v>
      </x:c>
      <x:c r="G18" s="23" t="str">
        <x:v>Margarita</x:v>
      </x:c>
      <x:c r="H18" s="23" t="n">
        <x:v>260</x:v>
      </x:c>
      <x:c r="I18" s="23" t="n">
        <x:v>25</x:v>
      </x:c>
      <x:c r="J18" s="23" t="str">
        <x:v>cocktail_glass</x:v>
      </x:c>
      <x:c r="K18" s="23" t="str">
        <x:v>shaker</x:v>
      </x:c>
      <x:c r="L18" s="23" t="str">
        <x:v>lime_wedge</x:v>
      </x:c>
      <x:c r="M18" s="23" t="str">
        <x:v>CUBED</x:v>
      </x:c>
      <x:c r="N18" s="23" t="str">
        <x:v>NONE</x:v>
      </x:c>
      <x:c r="O18" s="23" t="str">
        <x:v>#D2DA6D</x:v>
      </x:c>
      <x:c r="P18" s="23" t="str">
        <x:v>#D2DA6D</x:v>
      </x:c>
      <x:c r="Q18" s="23" t="n">
        <x:v>52</x:v>
      </x:c>
      <x:c r="R18" s="23" t="str">
        <x:v>데킬라의 태양과 레몬의 번개.</x:v>
      </x:c>
      <x:c r="S18" s="23" t="str">
        <x:v>Tequila's sun and lemon's lightning.</x:v>
      </x:c>
      <x:c r="T18" s="23" t="str">
        <x:v>데킬라와 트리플섹을 따르고 레몬을 스퀴즈한 뒤 셰이크한다.</x:v>
      </x:c>
      <x:c r="U18" s="23" t="str">
        <x:v>Pour the tequila and triple sec, squeeze the lemon, then shake.</x:v>
      </x:c>
      <x:c r="V18" s="23" t="str">
        <x:v>Finished_Margarita</x:v>
      </x:c>
      <x:c r="W18" s="23" t="str">
        <x:v>Serve_Margarita</x:v>
      </x:c>
      <x:c r="X18" s="23" t="str">
        <x:v>CONFIRMED</x:v>
      </x:c>
      <x:c r="Y18" s="23" t="str">
        <x:v>기존 레시피 기반 설명문</x:v>
      </x:c>
      <x:c r="Z18" s="23" t="str">
        <x:f>IF(COUNTIF($A$2:$A$30,A18)=1,"OK","DUPLICATE")</x:f>
        <x:v>OK</x:v>
      </x:c>
      <x:c r="AA18" s="23" t="str">
        <x:f>IF(AND(F18&lt;&gt;"",G18&lt;&gt;"",R18&lt;&gt;"",S18&lt;&gt;"",T18&lt;&gt;"",U18&lt;&gt;""),"OK","MISSING")</x:f>
        <x:v>OK</x:v>
      </x:c>
      <x:c r="AB18" s="23" t="str">
        <x:f>IF(COUNTIF(Glasses!$A$2:$A$7,J18)=1,"OK","BAD_FK")</x:f>
        <x:v>OK</x:v>
      </x:c>
      <x:c r="AC18" s="23" t="str">
        <x:f>IF(K18="","OK",IF(COUNTIF(Tools!$A$2:$A$3,K18)=1,"OK","BAD_FK"))</x:f>
        <x:v>OK</x:v>
      </x:c>
      <x:c r="AD18" s="23" t="str">
        <x:f>IF(L18="","OK",IF(COUNTIF(Garnishes!$A$2:$A$6,L18)=1,"OK","BAD_FK"))</x:f>
        <x:v>OK</x:v>
      </x:c>
    </x:row>
    <x:row r="19" ht="108" hidden="0" customHeight="1">
      <x:c r="A19" s="23" t="str">
        <x:v>old_pal</x:v>
      </x:c>
      <x:c r="B19" s="23" t="str">
        <x:v>ACTIVE</x:v>
      </x:c>
      <x:c r="C19" s="23" t="n">
        <x:v>7</x:v>
      </x:c>
      <x:c r="D19" s="23" t="n">
        <x:v>18</x:v>
      </x:c>
      <x:c r="E19" s="23" t="n">
        <x:v>1</x:v>
      </x:c>
      <x:c r="F19" s="23" t="str">
        <x:v>올드 팔</x:v>
      </x:c>
      <x:c r="G19" s="23" t="str">
        <x:v>Old Pal</x:v>
      </x:c>
      <x:c r="H19" s="23" t="n">
        <x:v>280</x:v>
      </x:c>
      <x:c r="I19" s="23" t="n">
        <x:v>25</x:v>
      </x:c>
      <x:c r="J19" s="23" t="str">
        <x:v>cocktail_glass</x:v>
      </x:c>
      <x:c r="K19" s="23" t="str">
        <x:v>mixing_glass</x:v>
      </x:c>
      <x:c r="L19" s="23" t="str"/>
      <x:c r="M19" s="23" t="str">
        <x:v>CUBED</x:v>
      </x:c>
      <x:c r="N19" s="23" t="str">
        <x:v>NONE</x:v>
      </x:c>
      <x:c r="O19" s="23" t="str">
        <x:v>#D4482D</x:v>
      </x:c>
      <x:c r="P19" s="23" t="str">
        <x:v>#D4482D</x:v>
      </x:c>
      <x:c r="Q19" s="23" t="n">
        <x:v>52</x:v>
      </x:c>
      <x:c r="R19" s="23" t="str">
        <x:v>위스키와 버무스, 캄파리의 쌉쌀한 악수.</x:v>
      </x:c>
      <x:c r="S19" s="23" t="str">
        <x:v>A bitter handshake of whiskey, vermouth, and Campari.</x:v>
      </x:c>
      <x:c r="T19" s="23" t="str">
        <x:v>상세 재료 순서와 목표 수량 확정 후 제조방법 설명문을 완성한다.</x:v>
      </x:c>
      <x:c r="U19" s="23" t="str">
        <x:v>Complete this preparation summary after the ingredient order and target quantities are finalized.</x:v>
      </x:c>
      <x:c r="V19" s="23" t="str"/>
      <x:c r="W19" s="23" t="str"/>
      <x:c r="X19" s="23" t="str">
        <x:v>NEEDS_RECIPE</x:v>
      </x:c>
      <x:c r="Y19" s="23" t="str">
        <x:v>신규 로스터 상세 qty/unit 및 설명문 검토 필요</x:v>
      </x:c>
      <x:c r="Z19" s="23" t="str">
        <x:f>IF(COUNTIF($A$2:$A$30,A19)=1,"OK","DUPLICATE")</x:f>
        <x:v>OK</x:v>
      </x:c>
      <x:c r="AA19" s="23" t="str">
        <x:f>IF(AND(F19&lt;&gt;"",G19&lt;&gt;"",R19&lt;&gt;"",S19&lt;&gt;"",T19&lt;&gt;"",U19&lt;&gt;""),"OK","MISSING")</x:f>
        <x:v>OK</x:v>
      </x:c>
      <x:c r="AB19" s="23" t="str">
        <x:f>IF(COUNTIF(Glasses!$A$2:$A$7,J19)=1,"OK","BAD_FK")</x:f>
        <x:v>OK</x:v>
      </x:c>
      <x:c r="AC19" s="23" t="str">
        <x:f>IF(K19="","OK",IF(COUNTIF(Tools!$A$2:$A$3,K19)=1,"OK","BAD_FK"))</x:f>
        <x:v>OK</x:v>
      </x:c>
      <x:c r="AD19" s="23" t="str">
        <x:f>IF(L19="","OK",IF(COUNTIF(Garnishes!$A$2:$A$6,L19)=1,"OK","BAD_FK"))</x:f>
        <x:v>OK</x:v>
      </x:c>
    </x:row>
    <x:row r="20" ht="64.80000305175781" hidden="0" customHeight="1">
      <x:c r="A20" s="23" t="str">
        <x:v>bacardi</x:v>
      </x:c>
      <x:c r="B20" s="23" t="str">
        <x:v>ACTIVE</x:v>
      </x:c>
      <x:c r="C20" s="23" t="n">
        <x:v>2</x:v>
      </x:c>
      <x:c r="D20" s="23" t="n">
        <x:v>19</x:v>
      </x:c>
      <x:c r="E20" s="23" t="n">
        <x:v>1</x:v>
      </x:c>
      <x:c r="F20" s="23" t="str">
        <x:v>바카디</x:v>
      </x:c>
      <x:c r="G20" s="23" t="str">
        <x:v>Bacardi</x:v>
      </x:c>
      <x:c r="H20" s="23" t="n">
        <x:v>230</x:v>
      </x:c>
      <x:c r="I20" s="23" t="n">
        <x:v>20</x:v>
      </x:c>
      <x:c r="J20" s="23" t="str">
        <x:v>cocktail_glass</x:v>
      </x:c>
      <x:c r="K20" s="23" t="str">
        <x:v>shaker</x:v>
      </x:c>
      <x:c r="L20" s="23" t="str"/>
      <x:c r="M20" s="23" t="str">
        <x:v>CUBED</x:v>
      </x:c>
      <x:c r="N20" s="23" t="str">
        <x:v>NONE</x:v>
      </x:c>
      <x:c r="O20" s="23" t="str">
        <x:v>#DB6059</x:v>
      </x:c>
      <x:c r="P20" s="23" t="str">
        <x:v>#DB6059</x:v>
      </x:c>
      <x:c r="Q20" s="23" t="n">
        <x:v>52</x:v>
      </x:c>
      <x:c r="R20" s="23" t="str">
        <x:v>럼과 그레나딘과 라임. 이름을 건 칵테일.</x:v>
      </x:c>
      <x:c r="S20" s="23" t="str">
        <x:v>Rum, grenadine, lime. A cocktail that bears the name.</x:v>
      </x:c>
      <x:c r="T20" s="23" t="str">
        <x:v>럼과 그레나딘을 따르고 라임을 스퀴즈한 뒤 셰이크한다.</x:v>
      </x:c>
      <x:c r="U20" s="23" t="str">
        <x:v>Pour the rum and grenadine, squeeze the lime, then shake.</x:v>
      </x:c>
      <x:c r="V20" s="23" t="str">
        <x:v>Finished_Bacardi</x:v>
      </x:c>
      <x:c r="W20" s="23" t="str">
        <x:v>Serve_Bacardi</x:v>
      </x:c>
      <x:c r="X20" s="23" t="str">
        <x:v>CONFIRMED</x:v>
      </x:c>
      <x:c r="Y20" s="23" t="str">
        <x:v>기존 레시피 기반 설명문</x:v>
      </x:c>
      <x:c r="Z20" s="23" t="str">
        <x:f>IF(COUNTIF($A$2:$A$30,A20)=1,"OK","DUPLICATE")</x:f>
        <x:v>OK</x:v>
      </x:c>
      <x:c r="AA20" s="23" t="str">
        <x:f>IF(AND(F20&lt;&gt;"",G20&lt;&gt;"",R20&lt;&gt;"",S20&lt;&gt;"",T20&lt;&gt;"",U20&lt;&gt;""),"OK","MISSING")</x:f>
        <x:v>OK</x:v>
      </x:c>
      <x:c r="AB20" s="23" t="str">
        <x:f>IF(COUNTIF(Glasses!$A$2:$A$7,J20)=1,"OK","BAD_FK")</x:f>
        <x:v>OK</x:v>
      </x:c>
      <x:c r="AC20" s="23" t="str">
        <x:f>IF(K20="","OK",IF(COUNTIF(Tools!$A$2:$A$3,K20)=1,"OK","BAD_FK"))</x:f>
        <x:v>OK</x:v>
      </x:c>
      <x:c r="AD20" s="23" t="str">
        <x:f>IF(L20="","OK",IF(COUNTIF(Garnishes!$A$2:$A$6,L20)=1,"OK","BAD_FK"))</x:f>
        <x:v>OK</x:v>
      </x:c>
    </x:row>
    <x:row r="21" ht="54" hidden="0" customHeight="1">
      <x:c r="A21" s="23" t="str">
        <x:v>white_lady</x:v>
      </x:c>
      <x:c r="B21" s="23" t="str">
        <x:v>ACTIVE</x:v>
      </x:c>
      <x:c r="C21" s="23" t="n">
        <x:v>4</x:v>
      </x:c>
      <x:c r="D21" s="23" t="n">
        <x:v>20</x:v>
      </x:c>
      <x:c r="E21" s="23" t="n">
        <x:v>1</x:v>
      </x:c>
      <x:c r="F21" s="23" t="str">
        <x:v>화이트레이디</x:v>
      </x:c>
      <x:c r="G21" s="23" t="str">
        <x:v>White Lady</x:v>
      </x:c>
      <x:c r="H21" s="23" t="n">
        <x:v>270</x:v>
      </x:c>
      <x:c r="I21" s="23" t="n">
        <x:v>25</x:v>
      </x:c>
      <x:c r="J21" s="23" t="str">
        <x:v>cocktail_glass</x:v>
      </x:c>
      <x:c r="K21" s="23" t="str">
        <x:v>shaker</x:v>
      </x:c>
      <x:c r="L21" s="23" t="str"/>
      <x:c r="M21" s="23" t="str">
        <x:v>CUBED</x:v>
      </x:c>
      <x:c r="N21" s="23" t="str">
        <x:v>NONE</x:v>
      </x:c>
      <x:c r="O21" s="23" t="str">
        <x:v>#F7F1D6</x:v>
      </x:c>
      <x:c r="P21" s="23" t="str">
        <x:v>#F7F1D6</x:v>
      </x:c>
      <x:c r="Q21" s="23" t="n">
        <x:v>52</x:v>
      </x:c>
      <x:c r="R21" s="23" t="str">
        <x:v>새하얀 드레스처럼 우아하고, 도수는 우아하지 않다.</x:v>
      </x:c>
      <x:c r="S21" s="23" t="str">
        <x:v>Elegant as a white dress. The proof is not elegant.</x:v>
      </x:c>
      <x:c r="T21" s="23" t="str">
        <x:v>진과 트리플섹을 따르고 레몬을 스퀴즈한 뒤 셰이크한다.</x:v>
      </x:c>
      <x:c r="U21" s="23" t="str">
        <x:v>Pour the gin and triple sec, squeeze the lemon, then shake.</x:v>
      </x:c>
      <x:c r="V21" s="23" t="str">
        <x:v>Finished_WhiteLady</x:v>
      </x:c>
      <x:c r="W21" s="23" t="str">
        <x:v>Serve_WhiteLady</x:v>
      </x:c>
      <x:c r="X21" s="23" t="str">
        <x:v>CONFIRMED</x:v>
      </x:c>
      <x:c r="Y21" s="23" t="str">
        <x:v>기존 레시피 기반 설명문</x:v>
      </x:c>
      <x:c r="Z21" s="23" t="str">
        <x:f>IF(COUNTIF($A$2:$A$30,A21)=1,"OK","DUPLICATE")</x:f>
        <x:v>OK</x:v>
      </x:c>
      <x:c r="AA21" s="23" t="str">
        <x:f>IF(AND(F21&lt;&gt;"",G21&lt;&gt;"",R21&lt;&gt;"",S21&lt;&gt;"",T21&lt;&gt;"",U21&lt;&gt;""),"OK","MISSING")</x:f>
        <x:v>OK</x:v>
      </x:c>
      <x:c r="AB21" s="23" t="str">
        <x:f>IF(COUNTIF(Glasses!$A$2:$A$7,J21)=1,"OK","BAD_FK")</x:f>
        <x:v>OK</x:v>
      </x:c>
      <x:c r="AC21" s="23" t="str">
        <x:f>IF(K21="","OK",IF(COUNTIF(Tools!$A$2:$A$3,K21)=1,"OK","BAD_FK"))</x:f>
        <x:v>OK</x:v>
      </x:c>
      <x:c r="AD21" s="23" t="str">
        <x:f>IF(L21="","OK",IF(COUNTIF(Garnishes!$A$2:$A$6,L21)=1,"OK","BAD_FK"))</x:f>
        <x:v>OK</x:v>
      </x:c>
    </x:row>
    <x:row r="22" ht="108" hidden="0" customHeight="1">
      <x:c r="A22" s="23" t="str">
        <x:v>espresso_martini</x:v>
      </x:c>
      <x:c r="B22" s="23" t="str">
        <x:v>ACTIVE</x:v>
      </x:c>
      <x:c r="C22" s="23" t="n">
        <x:v>6</x:v>
      </x:c>
      <x:c r="D22" s="23" t="n">
        <x:v>21</x:v>
      </x:c>
      <x:c r="E22" s="23" t="n">
        <x:v>1</x:v>
      </x:c>
      <x:c r="F22" s="23" t="str">
        <x:v>에스프레소 마티니</x:v>
      </x:c>
      <x:c r="G22" s="23" t="str">
        <x:v>Espresso Martini</x:v>
      </x:c>
      <x:c r="H22" s="23" t="n">
        <x:v>280</x:v>
      </x:c>
      <x:c r="I22" s="23" t="n">
        <x:v>20</x:v>
      </x:c>
      <x:c r="J22" s="23" t="str">
        <x:v>cocktail_glass</x:v>
      </x:c>
      <x:c r="K22" s="23" t="str">
        <x:v>shaker</x:v>
      </x:c>
      <x:c r="L22" s="23" t="str"/>
      <x:c r="M22" s="23" t="str">
        <x:v>CUBED</x:v>
      </x:c>
      <x:c r="N22" s="23" t="str">
        <x:v>NONE</x:v>
      </x:c>
      <x:c r="O22" s="23" t="str">
        <x:v>#422A1C</x:v>
      </x:c>
      <x:c r="P22" s="23" t="str">
        <x:v>#422A1C</x:v>
      </x:c>
      <x:c r="Q22" s="23" t="n">
        <x:v>52</x:v>
      </x:c>
      <x:c r="R22" s="23" t="str">
        <x:v>보드카와 커피가 새벽을 한 잔 더 연장한다.</x:v>
      </x:c>
      <x:c r="S22" s="23" t="str">
        <x:v>Vodka and coffee extend the night by one more glass.</x:v>
      </x:c>
      <x:c r="T22" s="23" t="str">
        <x:v>상세 재료 순서와 목표 수량 확정 후 제조방법 설명문을 완성한다.</x:v>
      </x:c>
      <x:c r="U22" s="23" t="str">
        <x:v>Complete this preparation summary after the ingredient order and target quantities are finalized.</x:v>
      </x:c>
      <x:c r="V22" s="23" t="str"/>
      <x:c r="W22" s="23" t="str"/>
      <x:c r="X22" s="23" t="str">
        <x:v>NEEDS_RECIPE</x:v>
      </x:c>
      <x:c r="Y22" s="23" t="str">
        <x:v>신규 로스터 상세 qty/unit 및 설명문 검토 필요</x:v>
      </x:c>
      <x:c r="Z22" s="23" t="str">
        <x:f>IF(COUNTIF($A$2:$A$30,A22)=1,"OK","DUPLICATE")</x:f>
        <x:v>OK</x:v>
      </x:c>
      <x:c r="AA22" s="23" t="str">
        <x:f>IF(AND(F22&lt;&gt;"",G22&lt;&gt;"",R22&lt;&gt;"",S22&lt;&gt;"",T22&lt;&gt;"",U22&lt;&gt;""),"OK","MISSING")</x:f>
        <x:v>OK</x:v>
      </x:c>
      <x:c r="AB22" s="23" t="str">
        <x:f>IF(COUNTIF(Glasses!$A$2:$A$7,J22)=1,"OK","BAD_FK")</x:f>
        <x:v>OK</x:v>
      </x:c>
      <x:c r="AC22" s="23" t="str">
        <x:f>IF(K22="","OK",IF(COUNTIF(Tools!$A$2:$A$3,K22)=1,"OK","BAD_FK"))</x:f>
        <x:v>OK</x:v>
      </x:c>
      <x:c r="AD22" s="23" t="str">
        <x:f>IF(L22="","OK",IF(COUNTIF(Garnishes!$A$2:$A$6,L22)=1,"OK","BAD_FK"))</x:f>
        <x:v>OK</x:v>
      </x:c>
    </x:row>
    <x:row r="23" ht="108" hidden="0" customHeight="1">
      <x:c r="A23" s="23" t="str">
        <x:v>june_bug</x:v>
      </x:c>
      <x:c r="B23" s="23" t="str">
        <x:v>ACTIVE</x:v>
      </x:c>
      <x:c r="C23" s="23" t="n">
        <x:v>9</x:v>
      </x:c>
      <x:c r="D23" s="23" t="n">
        <x:v>22</x:v>
      </x:c>
      <x:c r="E23" s="23" t="n">
        <x:v>1</x:v>
      </x:c>
      <x:c r="F23" s="23" t="str">
        <x:v>준벅</x:v>
      </x:c>
      <x:c r="G23" s="23" t="str">
        <x:v>June Bug</x:v>
      </x:c>
      <x:c r="H23" s="23" t="n">
        <x:v>320</x:v>
      </x:c>
      <x:c r="I23" s="23" t="n">
        <x:v>12</x:v>
      </x:c>
      <x:c r="J23" s="23" t="str">
        <x:v>long_drink_glass</x:v>
      </x:c>
      <x:c r="K23" s="23" t="str">
        <x:v>shaker</x:v>
      </x:c>
      <x:c r="L23" s="23" t="str"/>
      <x:c r="M23" s="23" t="str">
        <x:v>CUBED</x:v>
      </x:c>
      <x:c r="N23" s="23" t="str">
        <x:v>CUBED</x:v>
      </x:c>
      <x:c r="O23" s="23" t="str">
        <x:v>#BACD02</x:v>
      </x:c>
      <x:c r="P23" s="23" t="str">
        <x:v>#BACD02</x:v>
      </x:c>
      <x:c r="Q23" s="23" t="n">
        <x:v>60</x:v>
      </x:c>
      <x:c r="R23" s="23" t="str">
        <x:v>멜론과 코코넛, 바나나와 파인애플이 겹치는 초록빛 트로피컬 칵테일.</x:v>
      </x:c>
      <x:c r="S23" s="23" t="str">
        <x:v>A green tropical mix of melon, coconut, banana, and pineapple.</x:v>
      </x:c>
      <x:c r="T23" s="23" t="str">
        <x:v>상세 재료 순서와 목표 수량 확정 후 제조방법 설명문을 완성한다.</x:v>
      </x:c>
      <x:c r="U23" s="23" t="str">
        <x:v>Complete this preparation summary after the ingredient order and target quantities are finalized.</x:v>
      </x:c>
      <x:c r="V23" s="23" t="str"/>
      <x:c r="W23" s="23" t="str"/>
      <x:c r="X23" s="23" t="str">
        <x:v>NEEDS_RECIPE</x:v>
      </x:c>
      <x:c r="Y23" s="23" t="str">
        <x:v>신규 로스터 상세 qty/unit 및 설명문 검토 필요</x:v>
      </x:c>
      <x:c r="Z23" s="23" t="str">
        <x:f>IF(COUNTIF($A$2:$A$30,A23)=1,"OK","DUPLICATE")</x:f>
        <x:v>OK</x:v>
      </x:c>
      <x:c r="AA23" s="23" t="str">
        <x:f>IF(AND(F23&lt;&gt;"",G23&lt;&gt;"",R23&lt;&gt;"",S23&lt;&gt;"",T23&lt;&gt;"",U23&lt;&gt;""),"OK","MISSING")</x:f>
        <x:v>OK</x:v>
      </x:c>
      <x:c r="AB23" s="23" t="str">
        <x:f>IF(COUNTIF(Glasses!$A$2:$A$7,J23)=1,"OK","BAD_FK")</x:f>
        <x:v>OK</x:v>
      </x:c>
      <x:c r="AC23" s="23" t="str">
        <x:f>IF(K23="","OK",IF(COUNTIF(Tools!$A$2:$A$3,K23)=1,"OK","BAD_FK"))</x:f>
        <x:v>OK</x:v>
      </x:c>
      <x:c r="AD23" s="23" t="str">
        <x:f>IF(L23="","OK",IF(COUNTIF(Garnishes!$A$2:$A$6,L23)=1,"OK","BAD_FK"))</x:f>
        <x:v>OK</x:v>
      </x:c>
    </x:row>
    <x:row r="24" ht="108" hidden="0" customHeight="1">
      <x:c r="A24" s="23" t="str">
        <x:v>pink_lady</x:v>
      </x:c>
      <x:c r="B24" s="23" t="str">
        <x:v>ACTIVE</x:v>
      </x:c>
      <x:c r="C24" s="23" t="n">
        <x:v>5</x:v>
      </x:c>
      <x:c r="D24" s="23" t="n">
        <x:v>23</x:v>
      </x:c>
      <x:c r="E24" s="23" t="n">
        <x:v>1</x:v>
      </x:c>
      <x:c r="F24" s="23" t="str">
        <x:v>핑크레이디</x:v>
      </x:c>
      <x:c r="G24" s="23" t="str">
        <x:v>Pink Lady</x:v>
      </x:c>
      <x:c r="H24" s="23" t="n">
        <x:v>300</x:v>
      </x:c>
      <x:c r="I24" s="23" t="n">
        <x:v>18</x:v>
      </x:c>
      <x:c r="J24" s="23" t="str">
        <x:v>cocktail_glass</x:v>
      </x:c>
      <x:c r="K24" s="23" t="str">
        <x:v>shaker</x:v>
      </x:c>
      <x:c r="L24" s="23" t="str"/>
      <x:c r="M24" s="23" t="str">
        <x:v>CUBED</x:v>
      </x:c>
      <x:c r="N24" s="23" t="str">
        <x:v>NONE</x:v>
      </x:c>
      <x:c r="O24" s="23" t="str">
        <x:v>#FE617E</x:v>
      </x:c>
      <x:c r="P24" s="23" t="str">
        <x:v>#FE617E</x:v>
      </x:c>
      <x:c r="Q24" s="23" t="n">
        <x:v>60</x:v>
      </x:c>
      <x:c r="R24" s="23" t="str">
        <x:v>진과 그레나딘, 크림이 만드는 부드러운 분홍빛.</x:v>
      </x:c>
      <x:c r="S24" s="23" t="str">
        <x:v>Gin, grenadine, and cream in a soft shade of pink.</x:v>
      </x:c>
      <x:c r="T24" s="23" t="str">
        <x:v>상세 재료 순서와 목표 수량 확정 후 제조방법 설명문을 완성한다.</x:v>
      </x:c>
      <x:c r="U24" s="23" t="str">
        <x:v>Complete this preparation summary after the ingredient order and target quantities are finalized.</x:v>
      </x:c>
      <x:c r="V24" s="23" t="str"/>
      <x:c r="W24" s="23" t="str"/>
      <x:c r="X24" s="23" t="str">
        <x:v>NEEDS_RECIPE</x:v>
      </x:c>
      <x:c r="Y24" s="23" t="str">
        <x:v>신규 로스터 상세 qty/unit 및 설명문 검토 필요</x:v>
      </x:c>
      <x:c r="Z24" s="23" t="str">
        <x:f>IF(COUNTIF($A$2:$A$30,A24)=1,"OK","DUPLICATE")</x:f>
        <x:v>OK</x:v>
      </x:c>
      <x:c r="AA24" s="23" t="str">
        <x:f>IF(AND(F24&lt;&gt;"",G24&lt;&gt;"",R24&lt;&gt;"",S24&lt;&gt;"",T24&lt;&gt;"",U24&lt;&gt;""),"OK","MISSING")</x:f>
        <x:v>OK</x:v>
      </x:c>
      <x:c r="AB24" s="23" t="str">
        <x:f>IF(COUNTIF(Glasses!$A$2:$A$7,J24)=1,"OK","BAD_FK")</x:f>
        <x:v>OK</x:v>
      </x:c>
      <x:c r="AC24" s="23" t="str">
        <x:f>IF(K24="","OK",IF(COUNTIF(Tools!$A$2:$A$3,K24)=1,"OK","BAD_FK"))</x:f>
        <x:v>OK</x:v>
      </x:c>
      <x:c r="AD24" s="23" t="str">
        <x:f>IF(L24="","OK",IF(COUNTIF(Garnishes!$A$2:$A$6,L24)=1,"OK","BAD_FK"))</x:f>
        <x:v>OK</x:v>
      </x:c>
    </x:row>
    <x:row r="25" ht="108" hidden="0" customHeight="1">
      <x:c r="A25" s="23" t="str">
        <x:v>blue_hawaii</x:v>
      </x:c>
      <x:c r="B25" s="23" t="str">
        <x:v>ACTIVE</x:v>
      </x:c>
      <x:c r="C25" s="23" t="n">
        <x:v>7</x:v>
      </x:c>
      <x:c r="D25" s="23" t="n">
        <x:v>24</x:v>
      </x:c>
      <x:c r="E25" s="23" t="n">
        <x:v>1</x:v>
      </x:c>
      <x:c r="F25" s="23" t="str">
        <x:v>블루하와이</x:v>
      </x:c>
      <x:c r="G25" s="23" t="str">
        <x:v>Blue Hawaii</x:v>
      </x:c>
      <x:c r="H25" s="23" t="n">
        <x:v>320</x:v>
      </x:c>
      <x:c r="I25" s="23" t="n">
        <x:v>14</x:v>
      </x:c>
      <x:c r="J25" s="23" t="str">
        <x:v>long_drink_glass</x:v>
      </x:c>
      <x:c r="K25" s="23" t="str">
        <x:v>shaker</x:v>
      </x:c>
      <x:c r="L25" s="23" t="str"/>
      <x:c r="M25" s="23" t="str">
        <x:v>CUBED</x:v>
      </x:c>
      <x:c r="N25" s="23" t="str">
        <x:v>CUBED</x:v>
      </x:c>
      <x:c r="O25" s="23" t="str">
        <x:v>#0097B6</x:v>
      </x:c>
      <x:c r="P25" s="23" t="str">
        <x:v>#0097B6</x:v>
      </x:c>
      <x:c r="Q25" s="23" t="n">
        <x:v>60</x:v>
      </x:c>
      <x:c r="R25" s="23" t="str">
        <x:v>럼과 블루큐라소 위로 파인애플과 코코넛이 펼쳐진다.</x:v>
      </x:c>
      <x:c r="S25" s="23" t="str">
        <x:v>Rum and blue curaçao carried by pineapple and coconut.</x:v>
      </x:c>
      <x:c r="T25" s="23" t="str">
        <x:v>상세 재료 순서와 목표 수량 확정 후 제조방법 설명문을 완성한다.</x:v>
      </x:c>
      <x:c r="U25" s="23" t="str">
        <x:v>Complete this preparation summary after the ingredient order and target quantities are finalized.</x:v>
      </x:c>
      <x:c r="V25" s="23" t="str"/>
      <x:c r="W25" s="23" t="str"/>
      <x:c r="X25" s="23" t="str">
        <x:v>NEEDS_RECIPE</x:v>
      </x:c>
      <x:c r="Y25" s="23" t="str">
        <x:v>신규 로스터 상세 qty/unit 및 설명문 검토 필요</x:v>
      </x:c>
      <x:c r="Z25" s="23" t="str">
        <x:f>IF(COUNTIF($A$2:$A$30,A25)=1,"OK","DUPLICATE")</x:f>
        <x:v>OK</x:v>
      </x:c>
      <x:c r="AA25" s="23" t="str">
        <x:f>IF(AND(F25&lt;&gt;"",G25&lt;&gt;"",R25&lt;&gt;"",S25&lt;&gt;"",T25&lt;&gt;"",U25&lt;&gt;""),"OK","MISSING")</x:f>
        <x:v>OK</x:v>
      </x:c>
      <x:c r="AB25" s="23" t="str">
        <x:f>IF(COUNTIF(Glasses!$A$2:$A$7,J25)=1,"OK","BAD_FK")</x:f>
        <x:v>OK</x:v>
      </x:c>
      <x:c r="AC25" s="23" t="str">
        <x:f>IF(K25="","OK",IF(COUNTIF(Tools!$A$2:$A$3,K25)=1,"OK","BAD_FK"))</x:f>
        <x:v>OK</x:v>
      </x:c>
      <x:c r="AD25" s="23" t="str">
        <x:f>IF(L25="","OK",IF(COUNTIF(Garnishes!$A$2:$A$6,L25)=1,"OK","BAD_FK"))</x:f>
        <x:v>OK</x:v>
      </x:c>
    </x:row>
    <x:row r="26" ht="108" hidden="0" customHeight="1">
      <x:c r="A26" s="23" t="str">
        <x:v>grasshopper</x:v>
      </x:c>
      <x:c r="B26" s="23" t="str">
        <x:v>ACTIVE</x:v>
      </x:c>
      <x:c r="C26" s="23" t="n">
        <x:v>6</x:v>
      </x:c>
      <x:c r="D26" s="23" t="n">
        <x:v>25</x:v>
      </x:c>
      <x:c r="E26" s="23" t="n">
        <x:v>1</x:v>
      </x:c>
      <x:c r="F26" s="23" t="str">
        <x:v>그래스호퍼</x:v>
      </x:c>
      <x:c r="G26" s="23" t="str">
        <x:v>Grasshopper</x:v>
      </x:c>
      <x:c r="H26" s="23" t="n">
        <x:v>300</x:v>
      </x:c>
      <x:c r="I26" s="23" t="n">
        <x:v>10</x:v>
      </x:c>
      <x:c r="J26" s="23" t="str">
        <x:v>cocktail_glass</x:v>
      </x:c>
      <x:c r="K26" s="23" t="str">
        <x:v>shaker</x:v>
      </x:c>
      <x:c r="L26" s="23" t="str"/>
      <x:c r="M26" s="23" t="str">
        <x:v>CUBED</x:v>
      </x:c>
      <x:c r="N26" s="23" t="str">
        <x:v>NONE</x:v>
      </x:c>
      <x:c r="O26" s="23" t="str">
        <x:v>#76B7A1</x:v>
      </x:c>
      <x:c r="P26" s="23" t="str">
        <x:v>#76B7A1</x:v>
      </x:c>
      <x:c r="Q26" s="23" t="n">
        <x:v>60</x:v>
      </x:c>
      <x:c r="R26" s="23" t="str">
        <x:v>민트와 카카오, 크림이 만드는 차갑고 달콤한 디저트 칵테일.</x:v>
      </x:c>
      <x:c r="S26" s="23" t="str">
        <x:v>Mint, cacao, and cream make a cool, sweet dessert cocktail.</x:v>
      </x:c>
      <x:c r="T26" s="23" t="str">
        <x:v>상세 재료 순서와 목표 수량 확정 후 제조방법 설명문을 완성한다.</x:v>
      </x:c>
      <x:c r="U26" s="23" t="str">
        <x:v>Complete this preparation summary after the ingredient order and target quantities are finalized.</x:v>
      </x:c>
      <x:c r="V26" s="23" t="str"/>
      <x:c r="W26" s="23" t="str"/>
      <x:c r="X26" s="23" t="str">
        <x:v>NEEDS_RECIPE</x:v>
      </x:c>
      <x:c r="Y26" s="23" t="str">
        <x:v>신규 로스터 상세 qty/unit 및 설명문 검토 필요</x:v>
      </x:c>
      <x:c r="Z26" s="23" t="str">
        <x:f>IF(COUNTIF($A$2:$A$30,A26)=1,"OK","DUPLICATE")</x:f>
        <x:v>OK</x:v>
      </x:c>
      <x:c r="AA26" s="23" t="str">
        <x:f>IF(AND(F26&lt;&gt;"",G26&lt;&gt;"",R26&lt;&gt;"",S26&lt;&gt;"",T26&lt;&gt;"",U26&lt;&gt;""),"OK","MISSING")</x:f>
        <x:v>OK</x:v>
      </x:c>
      <x:c r="AB26" s="23" t="str">
        <x:f>IF(COUNTIF(Glasses!$A$2:$A$7,J26)=1,"OK","BAD_FK")</x:f>
        <x:v>OK</x:v>
      </x:c>
      <x:c r="AC26" s="23" t="str">
        <x:f>IF(K26="","OK",IF(COUNTIF(Tools!$A$2:$A$3,K26)=1,"OK","BAD_FK"))</x:f>
        <x:v>OK</x:v>
      </x:c>
      <x:c r="AD26" s="23" t="str">
        <x:f>IF(L26="","OK",IF(COUNTIF(Garnishes!$A$2:$A$6,L26)=1,"OK","BAD_FK"))</x:f>
        <x:v>OK</x:v>
      </x:c>
    </x:row>
    <x:row r="27" ht="108" hidden="0" customHeight="1">
      <x:c r="A27" s="23" t="str">
        <x:v>blue_sapphire</x:v>
      </x:c>
      <x:c r="B27" s="23" t="str">
        <x:v>ACTIVE</x:v>
      </x:c>
      <x:c r="C27" s="23" t="n">
        <x:v>8</x:v>
      </x:c>
      <x:c r="D27" s="23" t="n">
        <x:v>26</x:v>
      </x:c>
      <x:c r="E27" s="23" t="n">
        <x:v>1</x:v>
      </x:c>
      <x:c r="F27" s="23" t="str">
        <x:v>블루사파이어</x:v>
      </x:c>
      <x:c r="G27" s="23" t="str">
        <x:v>Blue Sapphire</x:v>
      </x:c>
      <x:c r="H27" s="23" t="n">
        <x:v>320</x:v>
      </x:c>
      <x:c r="I27" s="23" t="n">
        <x:v>15</x:v>
      </x:c>
      <x:c r="J27" s="23" t="str">
        <x:v>long_drink_glass</x:v>
      </x:c>
      <x:c r="K27" s="23" t="str">
        <x:v>shaker</x:v>
      </x:c>
      <x:c r="L27" s="23" t="str"/>
      <x:c r="M27" s="23" t="str">
        <x:v>CUBED</x:v>
      </x:c>
      <x:c r="N27" s="23" t="str">
        <x:v>CUBED</x:v>
      </x:c>
      <x:c r="O27" s="23" t="str">
        <x:v>#00998B</x:v>
      </x:c>
      <x:c r="P27" s="23" t="str">
        <x:v>#00998B</x:v>
      </x:c>
      <x:c r="Q27" s="23" t="n">
        <x:v>60</x:v>
      </x:c>
      <x:c r="R27" s="23" t="str">
        <x:v>블루큐라소와 복숭아, 코코넛이 만드는 푸른 보석.</x:v>
      </x:c>
      <x:c r="S27" s="23" t="str">
        <x:v>Blue curaçao, peach, and coconut form a liquid blue gem.</x:v>
      </x:c>
      <x:c r="T27" s="23" t="str">
        <x:v>상세 재료 순서와 목표 수량 확정 후 제조방법 설명문을 완성한다.</x:v>
      </x:c>
      <x:c r="U27" s="23" t="str">
        <x:v>Complete this preparation summary after the ingredient order and target quantities are finalized.</x:v>
      </x:c>
      <x:c r="V27" s="23" t="str"/>
      <x:c r="W27" s="23" t="str"/>
      <x:c r="X27" s="23" t="str">
        <x:v>NEEDS_RECIPE</x:v>
      </x:c>
      <x:c r="Y27" s="23" t="str">
        <x:v>신규 로스터 상세 qty/unit 및 설명문 검토 필요</x:v>
      </x:c>
      <x:c r="Z27" s="23" t="str">
        <x:f>IF(COUNTIF($A$2:$A$30,A27)=1,"OK","DUPLICATE")</x:f>
        <x:v>OK</x:v>
      </x:c>
      <x:c r="AA27" s="23" t="str">
        <x:f>IF(AND(F27&lt;&gt;"",G27&lt;&gt;"",R27&lt;&gt;"",S27&lt;&gt;"",T27&lt;&gt;"",U27&lt;&gt;""),"OK","MISSING")</x:f>
        <x:v>OK</x:v>
      </x:c>
      <x:c r="AB27" s="23" t="str">
        <x:f>IF(COUNTIF(Glasses!$A$2:$A$7,J27)=1,"OK","BAD_FK")</x:f>
        <x:v>OK</x:v>
      </x:c>
      <x:c r="AC27" s="23" t="str">
        <x:f>IF(K27="","OK",IF(COUNTIF(Tools!$A$2:$A$3,K27)=1,"OK","BAD_FK"))</x:f>
        <x:v>OK</x:v>
      </x:c>
      <x:c r="AD27" s="23" t="str">
        <x:f>IF(L27="","OK",IF(COUNTIF(Garnishes!$A$2:$A$6,L27)=1,"OK","BAD_FK"))</x:f>
        <x:v>OK</x:v>
      </x:c>
    </x:row>
    <x:row r="28" ht="108" hidden="0" customHeight="1">
      <x:c r="A28" s="23" t="str">
        <x:v>irish_coffee</x:v>
      </x:c>
      <x:c r="B28" s="23" t="str">
        <x:v>ACTIVE</x:v>
      </x:c>
      <x:c r="C28" s="23" t="n">
        <x:v>6</x:v>
      </x:c>
      <x:c r="D28" s="23" t="n">
        <x:v>27</x:v>
      </x:c>
      <x:c r="E28" s="23" t="n">
        <x:v>1</x:v>
      </x:c>
      <x:c r="F28" s="23" t="str">
        <x:v>아이리쉬 커피</x:v>
      </x:c>
      <x:c r="G28" s="23" t="str">
        <x:v>Irish Coffee</x:v>
      </x:c>
      <x:c r="H28" s="23" t="n">
        <x:v>300</x:v>
      </x:c>
      <x:c r="I28" s="23" t="n">
        <x:v>12</x:v>
      </x:c>
      <x:c r="J28" s="23" t="str">
        <x:v>beer_mug</x:v>
      </x:c>
      <x:c r="K28" s="23" t="str"/>
      <x:c r="L28" s="23" t="str"/>
      <x:c r="M28" s="23" t="str">
        <x:v>NONE</x:v>
      </x:c>
      <x:c r="N28" s="23" t="str">
        <x:v>NONE</x:v>
      </x:c>
      <x:c r="O28" s="23" t="str">
        <x:v>#4A3020</x:v>
      </x:c>
      <x:c r="P28" s="23" t="str">
        <x:v>#4A3020</x:v>
      </x:c>
      <x:c r="Q28" s="23" t="n">
        <x:v>60</x:v>
      </x:c>
      <x:c r="R28" s="23" t="str">
        <x:v>위스키와 뜨거운 커피 위에 크림을 띄운 따뜻한 한 잔.</x:v>
      </x:c>
      <x:c r="S28" s="23" t="str">
        <x:v>Whiskey and hot coffee topped with cream for a warming drink.</x:v>
      </x:c>
      <x:c r="T28" s="23" t="str">
        <x:v>상세 재료 순서와 목표 수량 확정 후 제조방법 설명문을 완성한다.</x:v>
      </x:c>
      <x:c r="U28" s="23" t="str">
        <x:v>Complete this preparation summary after the ingredient order and target quantities are finalized.</x:v>
      </x:c>
      <x:c r="V28" s="23" t="str"/>
      <x:c r="W28" s="23" t="str"/>
      <x:c r="X28" s="23" t="str">
        <x:v>NEEDS_RECIPE</x:v>
      </x:c>
      <x:c r="Y28" s="23" t="str">
        <x:v>신규 로스터 상세 qty/unit 및 설명문 검토 필요</x:v>
      </x:c>
      <x:c r="Z28" s="23" t="str">
        <x:f>IF(COUNTIF($A$2:$A$30,A28)=1,"OK","DUPLICATE")</x:f>
        <x:v>OK</x:v>
      </x:c>
      <x:c r="AA28" s="23" t="str">
        <x:f>IF(AND(F28&lt;&gt;"",G28&lt;&gt;"",R28&lt;&gt;"",S28&lt;&gt;"",T28&lt;&gt;"",U28&lt;&gt;""),"OK","MISSING")</x:f>
        <x:v>OK</x:v>
      </x:c>
      <x:c r="AB28" s="23" t="str">
        <x:f>IF(COUNTIF(Glasses!$A$2:$A$7,J28)=1,"OK","BAD_FK")</x:f>
        <x:v>OK</x:v>
      </x:c>
      <x:c r="AC28" s="23" t="str">
        <x:f>IF(K28="","OK",IF(COUNTIF(Tools!$A$2:$A$3,K28)=1,"OK","BAD_FK"))</x:f>
        <x:v>OK</x:v>
      </x:c>
      <x:c r="AD28" s="23" t="str">
        <x:f>IF(L28="","OK",IF(COUNTIF(Garnishes!$A$2:$A$6,L28)=1,"OK","BAD_FK"))</x:f>
        <x:v>OK</x:v>
      </x:c>
    </x:row>
    <x:row r="29" ht="75.5999984741211" hidden="0" customHeight="1">
      <x:c r="A29" s="23" t="str">
        <x:v>long_island_iced_tea</x:v>
      </x:c>
      <x:c r="B29" s="23" t="str">
        <x:v>ACTIVE</x:v>
      </x:c>
      <x:c r="C29" s="23" t="n">
        <x:v>1</x:v>
      </x:c>
      <x:c r="D29" s="23" t="n">
        <x:v>28</x:v>
      </x:c>
      <x:c r="E29" s="23" t="n">
        <x:v>1</x:v>
      </x:c>
      <x:c r="F29" s="23" t="str">
        <x:v>롱아일랜드 아이스티</x:v>
      </x:c>
      <x:c r="G29" s="23" t="str">
        <x:v>Long Island Iced Tea</x:v>
      </x:c>
      <x:c r="H29" s="23" t="n">
        <x:v>380</x:v>
      </x:c>
      <x:c r="I29" s="23" t="n">
        <x:v>22</x:v>
      </x:c>
      <x:c r="J29" s="23" t="str">
        <x:v>long_drink_glass</x:v>
      </x:c>
      <x:c r="K29" s="23" t="str"/>
      <x:c r="L29" s="23" t="str">
        <x:v>lemon_slice</x:v>
      </x:c>
      <x:c r="M29" s="23" t="str">
        <x:v>NONE</x:v>
      </x:c>
      <x:c r="N29" s="23" t="str">
        <x:v>CUBED</x:v>
      </x:c>
      <x:c r="O29" s="23" t="str">
        <x:v>#D67A0D</x:v>
      </x:c>
      <x:c r="P29" s="23" t="str">
        <x:v>#D67A0D</x:v>
      </x:c>
      <x:c r="Q29" s="23" t="n">
        <x:v>68</x:v>
      </x:c>
      <x:c r="R29" s="23" t="str">
        <x:v>홍차는 한 방울도 안 들어간다. 그게 함정이다.</x:v>
      </x:c>
      <x:c r="S29" s="23" t="str">
        <x:v>Not a drop of tea in it. That's the trap.</x:v>
      </x:c>
      <x:c r="T29" s="23" t="str">
        <x:v>진·보드카·럼·데킬라를 따른 뒤 레몬을 스퀴즈하고 콜라로 필업한다.</x:v>
      </x:c>
      <x:c r="U29" s="23" t="str">
        <x:v>Pour the gin, vodka, rum, and tequila, squeeze the lemon, then top with cola.</x:v>
      </x:c>
      <x:c r="V29" s="23" t="str">
        <x:v>Finished_LongIsland</x:v>
      </x:c>
      <x:c r="W29" s="23" t="str">
        <x:v>Serve_LongIsland</x:v>
      </x:c>
      <x:c r="X29" s="23" t="str">
        <x:v>CONFIRMED</x:v>
      </x:c>
      <x:c r="Y29" s="23" t="str">
        <x:v>기존 레시피 기반 설명문</x:v>
      </x:c>
      <x:c r="Z29" s="23" t="str">
        <x:f>IF(COUNTIF($A$2:$A$30,A29)=1,"OK","DUPLICATE")</x:f>
        <x:v>OK</x:v>
      </x:c>
      <x:c r="AA29" s="23" t="str">
        <x:f>IF(AND(F29&lt;&gt;"",G29&lt;&gt;"",R29&lt;&gt;"",S29&lt;&gt;"",T29&lt;&gt;"",U29&lt;&gt;""),"OK","MISSING")</x:f>
        <x:v>OK</x:v>
      </x:c>
      <x:c r="AB29" s="23" t="str">
        <x:f>IF(COUNTIF(Glasses!$A$2:$A$7,J29)=1,"OK","BAD_FK")</x:f>
        <x:v>OK</x:v>
      </x:c>
      <x:c r="AC29" s="23" t="str">
        <x:f>IF(K29="","OK",IF(COUNTIF(Tools!$A$2:$A$3,K29)=1,"OK","BAD_FK"))</x:f>
        <x:v>OK</x:v>
      </x:c>
      <x:c r="AD29" s="23" t="str">
        <x:f>IF(L29="","OK",IF(COUNTIF(Garnishes!$A$2:$A$6,L29)=1,"OK","BAD_FK"))</x:f>
        <x:v>OK</x:v>
      </x:c>
    </x:row>
    <x:row r="30" ht="108" hidden="0" customHeight="1">
      <x:c r="A30" s="23" t="str">
        <x:v>oasis_sunset</x:v>
      </x:c>
      <x:c r="B30" s="23" t="str">
        <x:v>ACTIVE</x:v>
      </x:c>
      <x:c r="C30" s="23" t="n">
        <x:v>7</x:v>
      </x:c>
      <x:c r="D30" s="23" t="n">
        <x:v>29</x:v>
      </x:c>
      <x:c r="E30" s="23" t="n">
        <x:v>1</x:v>
      </x:c>
      <x:c r="F30" s="23" t="str">
        <x:v>오아시스 선셋</x:v>
      </x:c>
      <x:c r="G30" s="23" t="str">
        <x:v>Oasis Sunset</x:v>
      </x:c>
      <x:c r="H30" s="23" t="n">
        <x:v>400</x:v>
      </x:c>
      <x:c r="I30" s="23" t="n">
        <x:v>18</x:v>
      </x:c>
      <x:c r="J30" s="23" t="str">
        <x:v>long_drink_glass</x:v>
      </x:c>
      <x:c r="K30" s="23" t="str">
        <x:v>shaker</x:v>
      </x:c>
      <x:c r="L30" s="23" t="str">
        <x:v>orange_slice</x:v>
      </x:c>
      <x:c r="M30" s="23" t="str">
        <x:v>CUBED</x:v>
      </x:c>
      <x:c r="N30" s="23" t="str">
        <x:v>CUBED</x:v>
      </x:c>
      <x:c r="O30" s="23" t="str">
        <x:v>#00998B</x:v>
      </x:c>
      <x:c r="P30" s="23" t="str">
        <x:v>#DB6059</x:v>
      </x:c>
      <x:c r="Q30" s="23" t="n">
        <x:v>68</x:v>
      </x:c>
      <x:c r="R30" s="23" t="str">
        <x:v>푸른 오아시스 위로 붉은 노을이 번지는 바의 시그니처 칵테일.</x:v>
      </x:c>
      <x:c r="S30" s="23" t="str">
        <x:v>The bar's signature: a red sunset spreading over a blue oasis.</x:v>
      </x:c>
      <x:c r="T30" s="23" t="str">
        <x:v>상세 재료 순서와 목표 수량 확정 후 제조방법 설명문을 완성한다.</x:v>
      </x:c>
      <x:c r="U30" s="23" t="str">
        <x:v>Complete this preparation summary after the ingredient order and target quantities are finalized.</x:v>
      </x:c>
      <x:c r="V30" s="23" t="str"/>
      <x:c r="W30" s="23" t="str"/>
      <x:c r="X30" s="23" t="str">
        <x:v>NEEDS_RECIPE</x:v>
      </x:c>
      <x:c r="Y30" s="23" t="str">
        <x:v>신규 로스터 상세 qty/unit 및 설명문 검토 필요</x:v>
      </x:c>
      <x:c r="Z30" s="23" t="str">
        <x:f>IF(COUNTIF($A$2:$A$30,A30)=1,"OK","DUPLICATE")</x:f>
        <x:v>OK</x:v>
      </x:c>
      <x:c r="AA30" s="23" t="str">
        <x:f>IF(AND(F30&lt;&gt;"",G30&lt;&gt;"",R30&lt;&gt;"",S30&lt;&gt;"",T30&lt;&gt;"",U30&lt;&gt;""),"OK","MISSING")</x:f>
        <x:v>OK</x:v>
      </x:c>
      <x:c r="AB30" s="23" t="str">
        <x:f>IF(COUNTIF(Glasses!$A$2:$A$7,J30)=1,"OK","BAD_FK")</x:f>
        <x:v>OK</x:v>
      </x:c>
      <x:c r="AC30" s="23" t="str">
        <x:f>IF(K30="","OK",IF(COUNTIF(Tools!$A$2:$A$3,K30)=1,"OK","BAD_FK"))</x:f>
        <x:v>OK</x:v>
      </x:c>
      <x:c r="AD30" s="23" t="str">
        <x:f>IF(L30="","OK",IF(COUNTIF(Garnishes!$A$2:$A$6,L30)=1,"OK","BAD_FK"))</x:f>
        <x:v>OK</x:v>
      </x:c>
    </x:row>
  </x:sheetData>
  <x:dataValidations count="4">
    <x:dataValidation type="list" sqref="B2:B30">
      <x:formula1>"ACTIVE,HIDDEN,RETIRED"</x:formula1>
    </x:dataValidation>
    <x:dataValidation type="list" sqref="M2:M30">
      <x:formula1>"NONE,CUBED,CRUSHED"</x:formula1>
    </x:dataValidation>
    <x:dataValidation type="list" sqref="N2:N30">
      <x:formula1>"NONE,CUBED,CRUSHED"</x:formula1>
    </x:dataValidation>
    <x:dataValidation type="list" sqref="X2:X30">
      <x:formula1>"CONFIRMED,NEEDS_RECIPE,NEEDS_ASSET,NEEDS_REVIEW"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7" hidden="0" customWidth="1"/>
    <x:col min="5" max="5" width="22" hidden="0" customWidth="1"/>
    <x:col min="6" max="6" width="17" hidden="0" customWidth="1"/>
    <x:col min="7" max="7" width="17" hidden="0" customWidth="1"/>
    <x:col min="8" max="8" width="17" hidden="0" customWidth="1"/>
    <x:col min="9" max="9" width="14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7" hidden="0" customWidth="1"/>
    <x:col min="16" max="16" width="3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8" customHeight="1">
      <x:c r="A1" s="19" t="str">
        <x:v>recipe_step_id</x:v>
      </x:c>
      <x:c r="B1" s="19" t="str">
        <x:v>cocktail_id</x:v>
      </x:c>
      <x:c r="C1" s="19" t="str">
        <x:v>step_order</x:v>
      </x:c>
      <x:c r="D1" s="19" t="str">
        <x:v>action</x:v>
      </x:c>
      <x:c r="E1" s="19" t="str">
        <x:v>ingredient_id</x:v>
      </x:c>
      <x:c r="F1" s="19" t="str">
        <x:v>requirement</x:v>
      </x:c>
      <x:c r="G1" s="19" t="str">
        <x:v>input_mode</x:v>
      </x:c>
      <x:c r="H1" s="19" t="str">
        <x:v>quantity_mode</x:v>
      </x:c>
      <x:c r="I1" s="19" t="str">
        <x:v>target_value</x:v>
      </x:c>
      <x:c r="J1" s="19" t="str">
        <x:v>target_unit</x:v>
      </x:c>
      <x:c r="K1" s="19" t="str">
        <x:v>target_ml</x:v>
      </x:c>
      <x:c r="L1" s="19" t="str">
        <x:v>is_scored</x:v>
      </x:c>
      <x:c r="M1" s="19" t="str">
        <x:v>score_weight</x:v>
      </x:c>
      <x:c r="N1" s="19" t="str">
        <x:v>show_in_recipe</x:v>
      </x:c>
      <x:c r="O1" s="19" t="str">
        <x:v>data_status</x:v>
      </x:c>
      <x:c r="P1" s="19" t="str">
        <x:v>review_note</x:v>
      </x:c>
      <x:c r="Q1" s="19" t="str">
        <x:v>qa_cocktail_fk</x:v>
      </x:c>
      <x:c r="R1" s="19" t="str">
        <x:v>qa_ingredient_fk</x:v>
      </x:c>
      <x:c r="S1" s="19" t="str">
        <x:v>qa_quantity</x:v>
      </x:c>
    </x:row>
    <x:row r="2" ht="21.600000381469727" hidden="0" customHeight="1">
      <x:c r="A2" s="23" t="str">
        <x:v>dry_martini_01</x:v>
      </x:c>
      <x:c r="B2" s="23" t="str">
        <x:v>dry_martini</x:v>
      </x:c>
      <x:c r="C2" s="23" t="n">
        <x:v>1</x:v>
      </x:c>
      <x:c r="D2" s="23" t="str">
        <x:v>POUR</x:v>
      </x:c>
      <x:c r="E2" s="23" t="str">
        <x:v>gin</x:v>
      </x:c>
      <x:c r="F2" s="23" t="str">
        <x:v>CORE</x:v>
      </x:c>
      <x:c r="G2" s="23" t="str">
        <x:v>MANUAL_SELECT</x:v>
      </x:c>
      <x:c r="H2" s="23" t="str">
        <x:v>EXACT_VOLUME</x:v>
      </x:c>
      <x:c r="I2" s="23" t="n">
        <x:v>6</x:v>
      </x:c>
      <x:c r="J2" s="23" t="str">
        <x:v>oz</x:v>
      </x:c>
      <x:c r="K2" s="23" t="n">
        <x:f>IF(H2&lt;&gt;"EXACT_VOLUME","",IF(J2="ml",I2,IF(J2="oz",I2*SUMIF(SystemConfig!$A$2:$A$22,"unit_oz_to_ml",SystemConfig!$C$2:$C$22),IF(J2="tsp",I2*SUMIF(SystemConfig!$A$2:$A$22,"unit_tsp_to_ml",SystemConfig!$C$2:$C$22),""))))</x:f>
        <x:v>180</x:v>
      </x:c>
      <x:c r="L2" s="28" t="b">
        <x:v>1</x:v>
      </x:c>
      <x:c r="M2" s="23" t="n">
        <x:v>1</x:v>
      </x:c>
      <x:c r="N2" s="28" t="b">
        <x:v>1</x:v>
      </x:c>
      <x:c r="O2" s="23" t="str">
        <x:v>CONFIRMED</x:v>
      </x:c>
      <x:c r="P2" s="23" t="str"/>
      <x:c r="Q2" s="23" t="str">
        <x:f>IF(COUNTIF(Cocktails!$A$2:$A$30,B2)=1,"OK","BAD_FK")</x:f>
        <x:v>OK</x:v>
      </x:c>
      <x:c r="R2" s="23" t="str">
        <x:f>IF(COUNTIF(Ingredients!$A$2:$A$39,E2)=1,"OK","BAD_FK")</x:f>
        <x:v>OK</x:v>
      </x:c>
      <x:c r="S2" s="23" t="str">
        <x:f>IF(OR(H2="FILL_TO_CAPACITY",AND(H2="EXACT_VOLUME",ISNUMBER(I2),OR(J2="ml",J2="oz",J2="tsp"))),"OK","TBD")</x:f>
        <x:v>OK</x:v>
      </x:c>
    </x:row>
    <x:row r="3" ht="21.600000381469727" hidden="0" customHeight="1">
      <x:c r="A3" s="23" t="str">
        <x:v>dry_martini_02</x:v>
      </x:c>
      <x:c r="B3" s="23" t="str">
        <x:v>dry_martini</x:v>
      </x:c>
      <x:c r="C3" s="23" t="n">
        <x:v>2</x:v>
      </x:c>
      <x:c r="D3" s="23" t="str">
        <x:v>POUR</x:v>
      </x:c>
      <x:c r="E3" s="23" t="str">
        <x:v>dry_vermouth</x:v>
      </x:c>
      <x:c r="F3" s="23" t="str">
        <x:v>REQUIRED</x:v>
      </x:c>
      <x:c r="G3" s="23" t="str">
        <x:v>MANUAL_SELECT</x:v>
      </x:c>
      <x:c r="H3" s="23" t="str">
        <x:v>EXACT_VOLUME</x:v>
      </x:c>
      <x:c r="I3" s="23" t="n">
        <x:v>1.5</x:v>
      </x:c>
      <x:c r="J3" s="23" t="str">
        <x:v>oz</x:v>
      </x:c>
      <x:c r="K3" s="23" t="n">
        <x:f>IF(H3&lt;&gt;"EXACT_VOLUME","",IF(J3="ml",I3,IF(J3="oz",I3*SUMIF(SystemConfig!$A$2:$A$22,"unit_oz_to_ml",SystemConfig!$C$2:$C$22),IF(J3="tsp",I3*SUMIF(SystemConfig!$A$2:$A$22,"unit_tsp_to_ml",SystemConfig!$C$2:$C$22),""))))</x:f>
        <x:v>45</x:v>
      </x:c>
      <x:c r="L3" s="28" t="b">
        <x:v>1</x:v>
      </x:c>
      <x:c r="M3" s="23" t="n">
        <x:v>1</x:v>
      </x:c>
      <x:c r="N3" s="28" t="b">
        <x:v>1</x:v>
      </x:c>
      <x:c r="O3" s="23" t="str">
        <x:v>CONFIRMED</x:v>
      </x:c>
      <x:c r="P3" s="23" t="str"/>
      <x:c r="Q3" s="23" t="str">
        <x:f>IF(COUNTIF(Cocktails!$A$2:$A$30,B3)=1,"OK","BAD_FK")</x:f>
        <x:v>OK</x:v>
      </x:c>
      <x:c r="R3" s="23" t="str">
        <x:f>IF(COUNTIF(Ingredients!$A$2:$A$39,E3)=1,"OK","BAD_FK")</x:f>
        <x:v>OK</x:v>
      </x:c>
      <x:c r="S3" s="23" t="str">
        <x:f>IF(OR(H3="FILL_TO_CAPACITY",AND(H3="EXACT_VOLUME",ISNUMBER(I3),OR(J3="ml",J3="oz",J3="tsp"))),"OK","TBD")</x:f>
        <x:v>OK</x:v>
      </x:c>
    </x:row>
    <x:row r="4" ht="21.600000381469727" hidden="0" customHeight="1">
      <x:c r="A4" s="23" t="str">
        <x:v>cosmopolitan_01</x:v>
      </x:c>
      <x:c r="B4" s="23" t="str">
        <x:v>cosmopolitan</x:v>
      </x:c>
      <x:c r="C4" s="23" t="n">
        <x:v>1</x:v>
      </x:c>
      <x:c r="D4" s="23" t="str">
        <x:v>POUR</x:v>
      </x:c>
      <x:c r="E4" s="23" t="str">
        <x:v>vodka</x:v>
      </x:c>
      <x:c r="F4" s="23" t="str">
        <x:v>CORE</x:v>
      </x:c>
      <x:c r="G4" s="23" t="str">
        <x:v>MANUAL_SELECT</x:v>
      </x:c>
      <x:c r="H4" s="23" t="str">
        <x:v>EXACT_VOLUME</x:v>
      </x:c>
      <x:c r="I4" s="23" t="n">
        <x:v>4</x:v>
      </x:c>
      <x:c r="J4" s="23" t="str">
        <x:v>oz</x:v>
      </x:c>
      <x:c r="K4" s="23" t="n">
        <x:f>IF(H4&lt;&gt;"EXACT_VOLUME","",IF(J4="ml",I4,IF(J4="oz",I4*SUMIF(SystemConfig!$A$2:$A$22,"unit_oz_to_ml",SystemConfig!$C$2:$C$22),IF(J4="tsp",I4*SUMIF(SystemConfig!$A$2:$A$22,"unit_tsp_to_ml",SystemConfig!$C$2:$C$22),""))))</x:f>
        <x:v>120</x:v>
      </x:c>
      <x:c r="L4" s="28" t="b">
        <x:v>1</x:v>
      </x:c>
      <x:c r="M4" s="23" t="n">
        <x:v>1</x:v>
      </x:c>
      <x:c r="N4" s="28" t="b">
        <x:v>1</x:v>
      </x:c>
      <x:c r="O4" s="23" t="str">
        <x:v>CONFIRMED</x:v>
      </x:c>
      <x:c r="P4" s="23" t="str"/>
      <x:c r="Q4" s="23" t="str">
        <x:f>IF(COUNTIF(Cocktails!$A$2:$A$30,B4)=1,"OK","BAD_FK")</x:f>
        <x:v>OK</x:v>
      </x:c>
      <x:c r="R4" s="23" t="str">
        <x:f>IF(COUNTIF(Ingredients!$A$2:$A$39,E4)=1,"OK","BAD_FK")</x:f>
        <x:v>OK</x:v>
      </x:c>
      <x:c r="S4" s="23" t="str">
        <x:f>IF(OR(H4="FILL_TO_CAPACITY",AND(H4="EXACT_VOLUME",ISNUMBER(I4),OR(J4="ml",J4="oz",J4="tsp"))),"OK","TBD")</x:f>
        <x:v>OK</x:v>
      </x:c>
    </x:row>
    <x:row r="5" ht="21.600000381469727" hidden="0" customHeight="1">
      <x:c r="A5" s="23" t="str">
        <x:v>cosmopolitan_02</x:v>
      </x:c>
      <x:c r="B5" s="23" t="str">
        <x:v>cosmopolitan</x:v>
      </x:c>
      <x:c r="C5" s="23" t="n">
        <x:v>2</x:v>
      </x:c>
      <x:c r="D5" s="23" t="str">
        <x:v>POUR</x:v>
      </x:c>
      <x:c r="E5" s="23" t="str">
        <x:v>cointreau</x:v>
      </x:c>
      <x:c r="F5" s="23" t="str">
        <x:v>REQUIRED</x:v>
      </x:c>
      <x:c r="G5" s="23" t="str">
        <x:v>MANUAL_SELECT</x:v>
      </x:c>
      <x:c r="H5" s="23" t="str">
        <x:v>EXACT_VOLUME</x:v>
      </x:c>
      <x:c r="I5" s="23" t="n">
        <x:v>1.5</x:v>
      </x:c>
      <x:c r="J5" s="23" t="str">
        <x:v>oz</x:v>
      </x:c>
      <x:c r="K5" s="23" t="n">
        <x:f>IF(H5&lt;&gt;"EXACT_VOLUME","",IF(J5="ml",I5,IF(J5="oz",I5*SUMIF(SystemConfig!$A$2:$A$22,"unit_oz_to_ml",SystemConfig!$C$2:$C$22),IF(J5="tsp",I5*SUMIF(SystemConfig!$A$2:$A$22,"unit_tsp_to_ml",SystemConfig!$C$2:$C$22),""))))</x:f>
        <x:v>45</x:v>
      </x:c>
      <x:c r="L5" s="28" t="b">
        <x:v>1</x:v>
      </x:c>
      <x:c r="M5" s="23" t="n">
        <x:v>1</x:v>
      </x:c>
      <x:c r="N5" s="28" t="b">
        <x:v>1</x:v>
      </x:c>
      <x:c r="O5" s="23" t="str">
        <x:v>CONFIRMED</x:v>
      </x:c>
      <x:c r="P5" s="23" t="str"/>
      <x:c r="Q5" s="23" t="str">
        <x:f>IF(COUNTIF(Cocktails!$A$2:$A$30,B5)=1,"OK","BAD_FK")</x:f>
        <x:v>OK</x:v>
      </x:c>
      <x:c r="R5" s="23" t="str">
        <x:f>IF(COUNTIF(Ingredients!$A$2:$A$39,E5)=1,"OK","BAD_FK")</x:f>
        <x:v>OK</x:v>
      </x:c>
      <x:c r="S5" s="23" t="str">
        <x:f>IF(OR(H5="FILL_TO_CAPACITY",AND(H5="EXACT_VOLUME",ISNUMBER(I5),OR(J5="ml",J5="oz",J5="tsp"))),"OK","TBD")</x:f>
        <x:v>OK</x:v>
      </x:c>
    </x:row>
    <x:row r="6" ht="21.600000381469727" hidden="0" customHeight="1">
      <x:c r="A6" s="23" t="str">
        <x:v>cosmopolitan_03</x:v>
      </x:c>
      <x:c r="B6" s="23" t="str">
        <x:v>cosmopolitan</x:v>
      </x:c>
      <x:c r="C6" s="23" t="n">
        <x:v>3</x:v>
      </x:c>
      <x:c r="D6" s="23" t="str">
        <x:v>POUR</x:v>
      </x:c>
      <x:c r="E6" s="23" t="str">
        <x:v>cranberry_juice</x:v>
      </x:c>
      <x:c r="F6" s="23" t="str">
        <x:v>REQUIRED</x:v>
      </x:c>
      <x:c r="G6" s="23" t="str">
        <x:v>MANUAL_SELECT</x:v>
      </x:c>
      <x:c r="H6" s="23" t="str">
        <x:v>EXACT_VOLUME</x:v>
      </x:c>
      <x:c r="I6" s="23" t="n">
        <x:v>3</x:v>
      </x:c>
      <x:c r="J6" s="23" t="str">
        <x:v>oz</x:v>
      </x:c>
      <x:c r="K6" s="23" t="n">
        <x:f>IF(H6&lt;&gt;"EXACT_VOLUME","",IF(J6="ml",I6,IF(J6="oz",I6*SUMIF(SystemConfig!$A$2:$A$22,"unit_oz_to_ml",SystemConfig!$C$2:$C$22),IF(J6="tsp",I6*SUMIF(SystemConfig!$A$2:$A$22,"unit_tsp_to_ml",SystemConfig!$C$2:$C$22),""))))</x:f>
        <x:v>90</x:v>
      </x:c>
      <x:c r="L6" s="28" t="b">
        <x:v>1</x:v>
      </x:c>
      <x:c r="M6" s="23" t="n">
        <x:v>1</x:v>
      </x:c>
      <x:c r="N6" s="28" t="b">
        <x:v>1</x:v>
      </x:c>
      <x:c r="O6" s="23" t="str">
        <x:v>CONFIRMED</x:v>
      </x:c>
      <x:c r="P6" s="23" t="str"/>
      <x:c r="Q6" s="23" t="str">
        <x:f>IF(COUNTIF(Cocktails!$A$2:$A$30,B6)=1,"OK","BAD_FK")</x:f>
        <x:v>OK</x:v>
      </x:c>
      <x:c r="R6" s="23" t="str">
        <x:f>IF(COUNTIF(Ingredients!$A$2:$A$39,E6)=1,"OK","BAD_FK")</x:f>
        <x:v>OK</x:v>
      </x:c>
      <x:c r="S6" s="23" t="str">
        <x:f>IF(OR(H6="FILL_TO_CAPACITY",AND(H6="EXACT_VOLUME",ISNUMBER(I6),OR(J6="ml",J6="oz",J6="tsp"))),"OK","TBD")</x:f>
        <x:v>OK</x:v>
      </x:c>
    </x:row>
    <x:row r="7" ht="21.600000381469727" hidden="0" customHeight="1">
      <x:c r="A7" s="23" t="str">
        <x:v>cosmopolitan_04</x:v>
      </x:c>
      <x:c r="B7" s="23" t="str">
        <x:v>cosmopolitan</x:v>
      </x:c>
      <x:c r="C7" s="23" t="n">
        <x:v>4</x:v>
      </x:c>
      <x:c r="D7" s="23" t="str">
        <x:v>SQUEEZE</x:v>
      </x:c>
      <x:c r="E7" s="23" t="str">
        <x:v>lime</x:v>
      </x:c>
      <x:c r="F7" s="23" t="str">
        <x:v>REQUIRED</x:v>
      </x:c>
      <x:c r="G7" s="23" t="str">
        <x:v>GUIDED_GIMMICK</x:v>
      </x:c>
      <x:c r="H7" s="23" t="str">
        <x:v>EXACT_VOLUME</x:v>
      </x:c>
      <x:c r="I7" s="23" t="n">
        <x:v>1.5</x:v>
      </x:c>
      <x:c r="J7" s="23" t="str">
        <x:v>oz</x:v>
      </x:c>
      <x:c r="K7" s="23" t="n">
        <x:f>IF(H7&lt;&gt;"EXACT_VOLUME","",IF(J7="ml",I7,IF(J7="oz",I7*SUMIF(SystemConfig!$A$2:$A$22,"unit_oz_to_ml",SystemConfig!$C$2:$C$22),IF(J7="tsp",I7*SUMIF(SystemConfig!$A$2:$A$22,"unit_tsp_to_ml",SystemConfig!$C$2:$C$22),""))))</x:f>
        <x:v>45</x:v>
      </x:c>
      <x:c r="L7" s="28" t="b">
        <x:v>1</x:v>
      </x:c>
      <x:c r="M7" s="23" t="n">
        <x:v>1</x:v>
      </x:c>
      <x:c r="N7" s="28" t="b">
        <x:v>0</x:v>
      </x:c>
      <x:c r="O7" s="23" t="str">
        <x:v>CONFIRMED</x:v>
      </x:c>
      <x:c r="P7" s="23" t="str"/>
      <x:c r="Q7" s="23" t="str">
        <x:f>IF(COUNTIF(Cocktails!$A$2:$A$30,B7)=1,"OK","BAD_FK")</x:f>
        <x:v>OK</x:v>
      </x:c>
      <x:c r="R7" s="23" t="str">
        <x:f>IF(COUNTIF(Ingredients!$A$2:$A$39,E7)=1,"OK","BAD_FK")</x:f>
        <x:v>OK</x:v>
      </x:c>
      <x:c r="S7" s="23" t="str">
        <x:f>IF(OR(H7="FILL_TO_CAPACITY",AND(H7="EXACT_VOLUME",ISNUMBER(I7),OR(J7="ml",J7="oz",J7="tsp"))),"OK","TBD")</x:f>
        <x:v>OK</x:v>
      </x:c>
    </x:row>
    <x:row r="8" ht="21.600000381469727" hidden="0" customHeight="1">
      <x:c r="A8" s="23" t="str">
        <x:v>gin_fizz_01</x:v>
      </x:c>
      <x:c r="B8" s="23" t="str">
        <x:v>gin_fizz</x:v>
      </x:c>
      <x:c r="C8" s="23" t="n">
        <x:v>1</x:v>
      </x:c>
      <x:c r="D8" s="23" t="str">
        <x:v>POUR</x:v>
      </x:c>
      <x:c r="E8" s="23" t="str">
        <x:v>gin</x:v>
      </x:c>
      <x:c r="F8" s="23" t="str">
        <x:v>CORE</x:v>
      </x:c>
      <x:c r="G8" s="23" t="str">
        <x:v>MANUAL_SELECT</x:v>
      </x:c>
      <x:c r="H8" s="23" t="str">
        <x:v>EXACT_VOLUME</x:v>
      </x:c>
      <x:c r="I8" s="23" t="n">
        <x:v>1.5</x:v>
      </x:c>
      <x:c r="J8" s="23" t="str">
        <x:v>oz</x:v>
      </x:c>
      <x:c r="K8" s="23" t="n">
        <x:f>IF(H8&lt;&gt;"EXACT_VOLUME","",IF(J8="ml",I8,IF(J8="oz",I8*SUMIF(SystemConfig!$A$2:$A$22,"unit_oz_to_ml",SystemConfig!$C$2:$C$22),IF(J8="tsp",I8*SUMIF(SystemConfig!$A$2:$A$22,"unit_tsp_to_ml",SystemConfig!$C$2:$C$22),""))))</x:f>
        <x:v>45</x:v>
      </x:c>
      <x:c r="L8" s="28" t="b">
        <x:v>1</x:v>
      </x:c>
      <x:c r="M8" s="23" t="n">
        <x:v>1</x:v>
      </x:c>
      <x:c r="N8" s="28" t="b">
        <x:v>1</x:v>
      </x:c>
      <x:c r="O8" s="23" t="str">
        <x:v>CONFIRMED</x:v>
      </x:c>
      <x:c r="P8" s="23" t="str"/>
      <x:c r="Q8" s="23" t="str">
        <x:f>IF(COUNTIF(Cocktails!$A$2:$A$30,B8)=1,"OK","BAD_FK")</x:f>
        <x:v>OK</x:v>
      </x:c>
      <x:c r="R8" s="23" t="str">
        <x:f>IF(COUNTIF(Ingredients!$A$2:$A$39,E8)=1,"OK","BAD_FK")</x:f>
        <x:v>OK</x:v>
      </x:c>
      <x:c r="S8" s="23" t="str">
        <x:f>IF(OR(H8="FILL_TO_CAPACITY",AND(H8="EXACT_VOLUME",ISNUMBER(I8),OR(J8="ml",J8="oz",J8="tsp"))),"OK","TBD")</x:f>
        <x:v>OK</x:v>
      </x:c>
    </x:row>
    <x:row r="9" ht="21.600000381469727" hidden="0" customHeight="1">
      <x:c r="A9" s="23" t="str">
        <x:v>gin_fizz_02</x:v>
      </x:c>
      <x:c r="B9" s="23" t="str">
        <x:v>gin_fizz</x:v>
      </x:c>
      <x:c r="C9" s="23" t="n">
        <x:v>2</x:v>
      </x:c>
      <x:c r="D9" s="23" t="str">
        <x:v>SQUEEZE</x:v>
      </x:c>
      <x:c r="E9" s="23" t="str">
        <x:v>lemon</x:v>
      </x:c>
      <x:c r="F9" s="23" t="str">
        <x:v>REQUIRED</x:v>
      </x:c>
      <x:c r="G9" s="23" t="str">
        <x:v>GUIDED_GIMMICK</x:v>
      </x:c>
      <x:c r="H9" s="23" t="str">
        <x:v>EXACT_VOLUME</x:v>
      </x:c>
      <x:c r="I9" s="23" t="n">
        <x:v>0.5</x:v>
      </x:c>
      <x:c r="J9" s="23" t="str">
        <x:v>oz</x:v>
      </x:c>
      <x:c r="K9" s="23" t="n">
        <x:f>IF(H9&lt;&gt;"EXACT_VOLUME","",IF(J9="ml",I9,IF(J9="oz",I9*SUMIF(SystemConfig!$A$2:$A$22,"unit_oz_to_ml",SystemConfig!$C$2:$C$22),IF(J9="tsp",I9*SUMIF(SystemConfig!$A$2:$A$22,"unit_tsp_to_ml",SystemConfig!$C$2:$C$22),""))))</x:f>
        <x:v>15</x:v>
      </x:c>
      <x:c r="L9" s="28" t="b">
        <x:v>1</x:v>
      </x:c>
      <x:c r="M9" s="23" t="n">
        <x:v>1</x:v>
      </x:c>
      <x:c r="N9" s="28" t="b">
        <x:v>0</x:v>
      </x:c>
      <x:c r="O9" s="23" t="str">
        <x:v>CONFIRMED</x:v>
      </x:c>
      <x:c r="P9" s="23" t="str"/>
      <x:c r="Q9" s="23" t="str">
        <x:f>IF(COUNTIF(Cocktails!$A$2:$A$30,B9)=1,"OK","BAD_FK")</x:f>
        <x:v>OK</x:v>
      </x:c>
      <x:c r="R9" s="23" t="str">
        <x:f>IF(COUNTIF(Ingredients!$A$2:$A$39,E9)=1,"OK","BAD_FK")</x:f>
        <x:v>OK</x:v>
      </x:c>
      <x:c r="S9" s="23" t="str">
        <x:f>IF(OR(H9="FILL_TO_CAPACITY",AND(H9="EXACT_VOLUME",ISNUMBER(I9),OR(J9="ml",J9="oz",J9="tsp"))),"OK","TBD")</x:f>
        <x:v>OK</x:v>
      </x:c>
    </x:row>
    <x:row r="10" ht="21.600000381469727" hidden="0" customHeight="1">
      <x:c r="A10" s="23" t="str">
        <x:v>gin_fizz_03</x:v>
      </x:c>
      <x:c r="B10" s="23" t="str">
        <x:v>gin_fizz</x:v>
      </x:c>
      <x:c r="C10" s="23" t="n">
        <x:v>3</x:v>
      </x:c>
      <x:c r="D10" s="23" t="str">
        <x:v>POWDER</x:v>
      </x:c>
      <x:c r="E10" s="23" t="str">
        <x:v>sugar</x:v>
      </x:c>
      <x:c r="F10" s="23" t="str">
        <x:v>REQUIRED</x:v>
      </x:c>
      <x:c r="G10" s="23" t="str">
        <x:v>AUTO_APPLY</x:v>
      </x:c>
      <x:c r="H10" s="23" t="str">
        <x:v>EXACT_VOLUME</x:v>
      </x:c>
      <x:c r="I10" s="23" t="n">
        <x:v>1</x:v>
      </x:c>
      <x:c r="J10" s="23" t="str">
        <x:v>tsp</x:v>
      </x:c>
      <x:c r="K10" s="23" t="n">
        <x:f>IF(H10&lt;&gt;"EXACT_VOLUME","",IF(J10="ml",I10,IF(J10="oz",I10*SUMIF(SystemConfig!$A$2:$A$22,"unit_oz_to_ml",SystemConfig!$C$2:$C$22),IF(J10="tsp",I10*SUMIF(SystemConfig!$A$2:$A$22,"unit_tsp_to_ml",SystemConfig!$C$2:$C$22),""))))</x:f>
        <x:v>5</x:v>
      </x:c>
      <x:c r="L10" s="28" t="b">
        <x:v>0</x:v>
      </x:c>
      <x:c r="M10" s="23" t="n">
        <x:v>0</x:v>
      </x:c>
      <x:c r="N10" s="28" t="b">
        <x:v>1</x:v>
      </x:c>
      <x:c r="O10" s="23" t="str">
        <x:v>CONFIRMED</x:v>
      </x:c>
      <x:c r="P10" s="23" t="str"/>
      <x:c r="Q10" s="23" t="str">
        <x:f>IF(COUNTIF(Cocktails!$A$2:$A$30,B10)=1,"OK","BAD_FK")</x:f>
        <x:v>OK</x:v>
      </x:c>
      <x:c r="R10" s="23" t="str">
        <x:f>IF(COUNTIF(Ingredients!$A$2:$A$39,E10)=1,"OK","BAD_FK")</x:f>
        <x:v>OK</x:v>
      </x:c>
      <x:c r="S10" s="23" t="str">
        <x:f>IF(OR(H10="FILL_TO_CAPACITY",AND(H10="EXACT_VOLUME",ISNUMBER(I10),OR(J10="ml",J10="oz",J10="tsp"))),"OK","TBD")</x:f>
        <x:v>OK</x:v>
      </x:c>
    </x:row>
    <x:row r="11" ht="21.600000381469727" hidden="0" customHeight="1">
      <x:c r="A11" s="23" t="str">
        <x:v>gin_fizz_04</x:v>
      </x:c>
      <x:c r="B11" s="23" t="str">
        <x:v>gin_fizz</x:v>
      </x:c>
      <x:c r="C11" s="23" t="n">
        <x:v>4</x:v>
      </x:c>
      <x:c r="D11" s="23" t="str">
        <x:v>FILL_UP</x:v>
      </x:c>
      <x:c r="E11" s="23" t="str">
        <x:v>soda_water</x:v>
      </x:c>
      <x:c r="F11" s="23" t="str">
        <x:v>REQUIRED</x:v>
      </x:c>
      <x:c r="G11" s="23" t="str">
        <x:v>MANUAL_SELECT</x:v>
      </x:c>
      <x:c r="H11" s="23" t="str">
        <x:v>FILL_TO_CAPACITY</x:v>
      </x:c>
      <x:c r="I11" s="23" t="n">
        <x:v>1</x:v>
      </x:c>
      <x:c r="J11" s="23" t="str">
        <x:v>ratio</x:v>
      </x:c>
      <x:c r="K11" s="23" t="str">
        <x:f>IF(H11&lt;&gt;"EXACT_VOLUME","",IF(J11="ml",I11,IF(J11="oz",I11*SUMIF(SystemConfig!$A$2:$A$22,"unit_oz_to_ml",SystemConfig!$C$2:$C$22),IF(J11="tsp",I11*SUMIF(SystemConfig!$A$2:$A$22,"unit_tsp_to_ml",SystemConfig!$C$2:$C$22),""))))</x:f>
      </x:c>
      <x:c r="L11" s="28" t="b">
        <x:v>1</x:v>
      </x:c>
      <x:c r="M11" s="23" t="n">
        <x:v>1</x:v>
      </x:c>
      <x:c r="N11" s="28" t="b">
        <x:v>1</x:v>
      </x:c>
      <x:c r="O11" s="23" t="str">
        <x:v>CONFIRMED</x:v>
      </x:c>
      <x:c r="P11" s="23" t="str">
        <x:v>목표 qty 미확정</x:v>
      </x:c>
      <x:c r="Q11" s="23" t="str">
        <x:f>IF(COUNTIF(Cocktails!$A$2:$A$30,B11)=1,"OK","BAD_FK")</x:f>
        <x:v>OK</x:v>
      </x:c>
      <x:c r="R11" s="23" t="str">
        <x:f>IF(COUNTIF(Ingredients!$A$2:$A$39,E11)=1,"OK","BAD_FK")</x:f>
        <x:v>OK</x:v>
      </x:c>
      <x:c r="S11" s="23" t="str">
        <x:f>IF(OR(H11="FILL_TO_CAPACITY",AND(H11="EXACT_VOLUME",ISNUMBER(I11),OR(J11="ml",J11="oz",J11="tsp"))),"OK","TBD")</x:f>
        <x:v>OK</x:v>
      </x:c>
    </x:row>
    <x:row r="12" ht="21.600000381469727" hidden="0" customHeight="1">
      <x:c r="A12" s="23" t="str">
        <x:v>kahlua_milk_01</x:v>
      </x:c>
      <x:c r="B12" s="23" t="str">
        <x:v>kahlua_milk</x:v>
      </x:c>
      <x:c r="C12" s="23" t="n">
        <x:v>1</x:v>
      </x:c>
      <x:c r="D12" s="23" t="str">
        <x:v>POUR</x:v>
      </x:c>
      <x:c r="E12" s="23" t="str">
        <x:v>kahlua</x:v>
      </x:c>
      <x:c r="F12" s="23" t="str">
        <x:v>CORE</x:v>
      </x:c>
      <x:c r="G12" s="23" t="str">
        <x:v>MANUAL_SELECT</x:v>
      </x:c>
      <x:c r="H12" s="23" t="str">
        <x:v>EXACT_VOLUME</x:v>
      </x:c>
      <x:c r="I12" s="23" t="n">
        <x:v>1.5</x:v>
      </x:c>
      <x:c r="J12" s="23" t="str">
        <x:v>oz</x:v>
      </x:c>
      <x:c r="K12" s="23" t="n">
        <x:f>IF(H12&lt;&gt;"EXACT_VOLUME","",IF(J12="ml",I12,IF(J12="oz",I12*SUMIF(SystemConfig!$A$2:$A$22,"unit_oz_to_ml",SystemConfig!$C$2:$C$22),IF(J12="tsp",I12*SUMIF(SystemConfig!$A$2:$A$22,"unit_tsp_to_ml",SystemConfig!$C$2:$C$22),""))))</x:f>
        <x:v>45</x:v>
      </x:c>
      <x:c r="L12" s="28" t="b">
        <x:v>1</x:v>
      </x:c>
      <x:c r="M12" s="23" t="n">
        <x:v>1</x:v>
      </x:c>
      <x:c r="N12" s="28" t="b">
        <x:v>1</x:v>
      </x:c>
      <x:c r="O12" s="23" t="str">
        <x:v>CONFIRMED</x:v>
      </x:c>
      <x:c r="P12" s="23" t="str"/>
      <x:c r="Q12" s="23" t="str">
        <x:f>IF(COUNTIF(Cocktails!$A$2:$A$30,B12)=1,"OK","BAD_FK")</x:f>
        <x:v>OK</x:v>
      </x:c>
      <x:c r="R12" s="23" t="str">
        <x:f>IF(COUNTIF(Ingredients!$A$2:$A$39,E12)=1,"OK","BAD_FK")</x:f>
        <x:v>OK</x:v>
      </x:c>
      <x:c r="S12" s="23" t="str">
        <x:f>IF(OR(H12="FILL_TO_CAPACITY",AND(H12="EXACT_VOLUME",ISNUMBER(I12),OR(J12="ml",J12="oz",J12="tsp"))),"OK","TBD")</x:f>
        <x:v>OK</x:v>
      </x:c>
    </x:row>
    <x:row r="13" ht="21.600000381469727" hidden="0" customHeight="1">
      <x:c r="A13" s="23" t="str">
        <x:v>kahlua_milk_02</x:v>
      </x:c>
      <x:c r="B13" s="23" t="str">
        <x:v>kahlua_milk</x:v>
      </x:c>
      <x:c r="C13" s="23" t="n">
        <x:v>2</x:v>
      </x:c>
      <x:c r="D13" s="23" t="str">
        <x:v>POUR</x:v>
      </x:c>
      <x:c r="E13" s="23" t="str">
        <x:v>milk</x:v>
      </x:c>
      <x:c r="F13" s="23" t="str">
        <x:v>REQUIRED</x:v>
      </x:c>
      <x:c r="G13" s="23" t="str">
        <x:v>MANUAL_SELECT</x:v>
      </x:c>
      <x:c r="H13" s="23" t="str">
        <x:v>EXACT_VOLUME</x:v>
      </x:c>
      <x:c r="I13" s="23" t="n">
        <x:v>0.75</x:v>
      </x:c>
      <x:c r="J13" s="23" t="str">
        <x:v>oz</x:v>
      </x:c>
      <x:c r="K13" s="23" t="n">
        <x:f>IF(H13&lt;&gt;"EXACT_VOLUME","",IF(J13="ml",I13,IF(J13="oz",I13*SUMIF(SystemConfig!$A$2:$A$22,"unit_oz_to_ml",SystemConfig!$C$2:$C$22),IF(J13="tsp",I13*SUMIF(SystemConfig!$A$2:$A$22,"unit_tsp_to_ml",SystemConfig!$C$2:$C$22),""))))</x:f>
        <x:v>22.5</x:v>
      </x:c>
      <x:c r="L13" s="28" t="b">
        <x:v>1</x:v>
      </x:c>
      <x:c r="M13" s="23" t="n">
        <x:v>1</x:v>
      </x:c>
      <x:c r="N13" s="28" t="b">
        <x:v>1</x:v>
      </x:c>
      <x:c r="O13" s="23" t="str">
        <x:v>CONFIRMED</x:v>
      </x:c>
      <x:c r="P13" s="23" t="str"/>
      <x:c r="Q13" s="23" t="str">
        <x:f>IF(COUNTIF(Cocktails!$A$2:$A$30,B13)=1,"OK","BAD_FK")</x:f>
        <x:v>OK</x:v>
      </x:c>
      <x:c r="R13" s="23" t="str">
        <x:f>IF(COUNTIF(Ingredients!$A$2:$A$39,E13)=1,"OK","BAD_FK")</x:f>
        <x:v>OK</x:v>
      </x:c>
      <x:c r="S13" s="23" t="str">
        <x:f>IF(OR(H13="FILL_TO_CAPACITY",AND(H13="EXACT_VOLUME",ISNUMBER(I13),OR(J13="ml",J13="oz",J13="tsp"))),"OK","TBD")</x:f>
        <x:v>OK</x:v>
      </x:c>
    </x:row>
    <x:row r="14" ht="21.600000381469727" hidden="0" customHeight="1">
      <x:c r="A14" s="23" t="str">
        <x:v>gin_tonic_01</x:v>
      </x:c>
      <x:c r="B14" s="23" t="str">
        <x:v>gin_tonic</x:v>
      </x:c>
      <x:c r="C14" s="23" t="n">
        <x:v>1</x:v>
      </x:c>
      <x:c r="D14" s="23" t="str">
        <x:v>POUR</x:v>
      </x:c>
      <x:c r="E14" s="23" t="str">
        <x:v>gin</x:v>
      </x:c>
      <x:c r="F14" s="23" t="str">
        <x:v>CORE</x:v>
      </x:c>
      <x:c r="G14" s="23" t="str">
        <x:v>MANUAL_SELECT</x:v>
      </x:c>
      <x:c r="H14" s="23" t="str">
        <x:v>EXACT_VOLUME</x:v>
      </x:c>
      <x:c r="I14" s="23" t="n">
        <x:v>1.5</x:v>
      </x:c>
      <x:c r="J14" s="23" t="str">
        <x:v>oz</x:v>
      </x:c>
      <x:c r="K14" s="23" t="n">
        <x:f>IF(H14&lt;&gt;"EXACT_VOLUME","",IF(J14="ml",I14,IF(J14="oz",I14*SUMIF(SystemConfig!$A$2:$A$22,"unit_oz_to_ml",SystemConfig!$C$2:$C$22),IF(J14="tsp",I14*SUMIF(SystemConfig!$A$2:$A$22,"unit_tsp_to_ml",SystemConfig!$C$2:$C$22),""))))</x:f>
        <x:v>45</x:v>
      </x:c>
      <x:c r="L14" s="28" t="b">
        <x:v>1</x:v>
      </x:c>
      <x:c r="M14" s="23" t="n">
        <x:v>1</x:v>
      </x:c>
      <x:c r="N14" s="28" t="b">
        <x:v>1</x:v>
      </x:c>
      <x:c r="O14" s="23" t="str">
        <x:v>CONFIRMED</x:v>
      </x:c>
      <x:c r="P14" s="23" t="str"/>
      <x:c r="Q14" s="23" t="str">
        <x:f>IF(COUNTIF(Cocktails!$A$2:$A$30,B14)=1,"OK","BAD_FK")</x:f>
        <x:v>OK</x:v>
      </x:c>
      <x:c r="R14" s="23" t="str">
        <x:f>IF(COUNTIF(Ingredients!$A$2:$A$39,E14)=1,"OK","BAD_FK")</x:f>
        <x:v>OK</x:v>
      </x:c>
      <x:c r="S14" s="23" t="str">
        <x:f>IF(OR(H14="FILL_TO_CAPACITY",AND(H14="EXACT_VOLUME",ISNUMBER(I14),OR(J14="ml",J14="oz",J14="tsp"))),"OK","TBD")</x:f>
        <x:v>OK</x:v>
      </x:c>
    </x:row>
    <x:row r="15" ht="21.600000381469727" hidden="0" customHeight="1">
      <x:c r="A15" s="23" t="str">
        <x:v>gin_tonic_02</x:v>
      </x:c>
      <x:c r="B15" s="23" t="str">
        <x:v>gin_tonic</x:v>
      </x:c>
      <x:c r="C15" s="23" t="n">
        <x:v>2</x:v>
      </x:c>
      <x:c r="D15" s="23" t="str">
        <x:v>FILL_UP</x:v>
      </x:c>
      <x:c r="E15" s="23" t="str">
        <x:v>tonic_water</x:v>
      </x:c>
      <x:c r="F15" s="23" t="str">
        <x:v>REQUIRED</x:v>
      </x:c>
      <x:c r="G15" s="23" t="str">
        <x:v>MANUAL_SELECT</x:v>
      </x:c>
      <x:c r="H15" s="23" t="str">
        <x:v>FILL_TO_CAPACITY</x:v>
      </x:c>
      <x:c r="I15" s="23" t="n">
        <x:v>1</x:v>
      </x:c>
      <x:c r="J15" s="23" t="str">
        <x:v>ratio</x:v>
      </x:c>
      <x:c r="K15" s="23" t="str">
        <x:f>IF(H15&lt;&gt;"EXACT_VOLUME","",IF(J15="ml",I15,IF(J15="oz",I15*SUMIF(SystemConfig!$A$2:$A$22,"unit_oz_to_ml",SystemConfig!$C$2:$C$22),IF(J15="tsp",I15*SUMIF(SystemConfig!$A$2:$A$22,"unit_tsp_to_ml",SystemConfig!$C$2:$C$22),""))))</x:f>
      </x:c>
      <x:c r="L15" s="28" t="b">
        <x:v>1</x:v>
      </x:c>
      <x:c r="M15" s="23" t="n">
        <x:v>1</x:v>
      </x:c>
      <x:c r="N15" s="28" t="b">
        <x:v>1</x:v>
      </x:c>
      <x:c r="O15" s="23" t="str">
        <x:v>CONFIRMED</x:v>
      </x:c>
      <x:c r="P15" s="23" t="str">
        <x:v>목표 qty 미확정</x:v>
      </x:c>
      <x:c r="Q15" s="23" t="str">
        <x:f>IF(COUNTIF(Cocktails!$A$2:$A$30,B15)=1,"OK","BAD_FK")</x:f>
        <x:v>OK</x:v>
      </x:c>
      <x:c r="R15" s="23" t="str">
        <x:f>IF(COUNTIF(Ingredients!$A$2:$A$39,E15)=1,"OK","BAD_FK")</x:f>
        <x:v>OK</x:v>
      </x:c>
      <x:c r="S15" s="23" t="str">
        <x:f>IF(OR(H15="FILL_TO_CAPACITY",AND(H15="EXACT_VOLUME",ISNUMBER(I15),OR(J15="ml",J15="oz",J15="tsp"))),"OK","TBD")</x:f>
        <x:v>OK</x:v>
      </x:c>
    </x:row>
    <x:row r="16" ht="21.600000381469727" hidden="0" customHeight="1">
      <x:c r="A16" s="23" t="str">
        <x:v>red_wine_01</x:v>
      </x:c>
      <x:c r="B16" s="23" t="str">
        <x:v>red_wine</x:v>
      </x:c>
      <x:c r="C16" s="23" t="n">
        <x:v>1</x:v>
      </x:c>
      <x:c r="D16" s="23" t="str">
        <x:v>POUR</x:v>
      </x:c>
      <x:c r="E16" s="23" t="str">
        <x:v>red_wine</x:v>
      </x:c>
      <x:c r="F16" s="23" t="str">
        <x:v>CORE</x:v>
      </x:c>
      <x:c r="G16" s="23" t="str">
        <x:v>MANUAL_SELECT</x:v>
      </x:c>
      <x:c r="H16" s="23" t="str">
        <x:v>EXACT_VOLUME</x:v>
      </x:c>
      <x:c r="I16" s="23" t="n">
        <x:v>8</x:v>
      </x:c>
      <x:c r="J16" s="23" t="str">
        <x:v>oz</x:v>
      </x:c>
      <x:c r="K16" s="23" t="n">
        <x:f>IF(H16&lt;&gt;"EXACT_VOLUME","",IF(J16="ml",I16,IF(J16="oz",I16*SUMIF(SystemConfig!$A$2:$A$22,"unit_oz_to_ml",SystemConfig!$C$2:$C$22),IF(J16="tsp",I16*SUMIF(SystemConfig!$A$2:$A$22,"unit_tsp_to_ml",SystemConfig!$C$2:$C$22),""))))</x:f>
        <x:v>240</x:v>
      </x:c>
      <x:c r="L16" s="28" t="b">
        <x:v>1</x:v>
      </x:c>
      <x:c r="M16" s="23" t="n">
        <x:v>1</x:v>
      </x:c>
      <x:c r="N16" s="28" t="b">
        <x:v>1</x:v>
      </x:c>
      <x:c r="O16" s="23" t="str">
        <x:v>CONFIRMED</x:v>
      </x:c>
      <x:c r="P16" s="23" t="str"/>
      <x:c r="Q16" s="23" t="str">
        <x:f>IF(COUNTIF(Cocktails!$A$2:$A$30,B16)=1,"OK","BAD_FK")</x:f>
        <x:v>OK</x:v>
      </x:c>
      <x:c r="R16" s="23" t="str">
        <x:f>IF(COUNTIF(Ingredients!$A$2:$A$39,E16)=1,"OK","BAD_FK")</x:f>
        <x:v>OK</x:v>
      </x:c>
      <x:c r="S16" s="23" t="str">
        <x:f>IF(OR(H16="FILL_TO_CAPACITY",AND(H16="EXACT_VOLUME",ISNUMBER(I16),OR(J16="ml",J16="oz",J16="tsp"))),"OK","TBD")</x:f>
        <x:v>OK</x:v>
      </x:c>
    </x:row>
    <x:row r="17" ht="75.5999984741211" hidden="0" customHeight="1">
      <x:c r="A17" s="23" t="str">
        <x:v>bottle_beer_01</x:v>
      </x:c>
      <x:c r="B17" s="23" t="str">
        <x:v>bottle_beer</x:v>
      </x:c>
      <x:c r="C17" s="23" t="n">
        <x:v>1</x:v>
      </x:c>
      <x:c r="D17" s="23" t="str">
        <x:v>POUR</x:v>
      </x:c>
      <x:c r="E17" s="23" t="str">
        <x:v>beer</x:v>
      </x:c>
      <x:c r="F17" s="23" t="str">
        <x:v>CORE</x:v>
      </x:c>
      <x:c r="G17" s="23" t="str">
        <x:v>MANUAL_SELECT</x:v>
      </x:c>
      <x:c r="H17" s="23" t="str">
        <x:v>EXACT_VOLUME</x:v>
      </x:c>
      <x:c r="I17" s="23" t="n">
        <x:v>12</x:v>
      </x:c>
      <x:c r="J17" s="23" t="str">
        <x:v>oz</x:v>
      </x:c>
      <x:c r="K17" s="23" t="n">
        <x:f>IF(H17&lt;&gt;"EXACT_VOLUME","",IF(J17="ml",I17,IF(J17="oz",I17*SUMIF(SystemConfig!$A$2:$A$22,"unit_oz_to_ml",SystemConfig!$C$2:$C$22),IF(J17="tsp",I17*SUMIF(SystemConfig!$A$2:$A$22,"unit_tsp_to_ml",SystemConfig!$C$2:$C$22),""))))</x:f>
        <x:v>360</x:v>
      </x:c>
      <x:c r="L17" s="28" t="b">
        <x:v>1</x:v>
      </x:c>
      <x:c r="M17" s="23" t="n">
        <x:v>1</x:v>
      </x:c>
      <x:c r="N17" s="28" t="b">
        <x:v>1</x:v>
      </x:c>
      <x:c r="O17" s="23" t="str">
        <x:v>CONFIRMED</x:v>
      </x:c>
      <x:c r="P17" s="23" t="str">
        <x:v>병맥주는 Open 뒤 12oz를 수동으로 따르며 Pour 수량 채점에 포함한다.</x:v>
      </x:c>
      <x:c r="Q17" s="23" t="str">
        <x:f>IF(COUNTIF(Cocktails!$A$2:$A$30,B17)=1,"OK","BAD_FK")</x:f>
        <x:v>OK</x:v>
      </x:c>
      <x:c r="R17" s="23" t="str">
        <x:f>IF(COUNTIF(Ingredients!$A$2:$A$39,E17)=1,"OK","BAD_FK")</x:f>
        <x:v>OK</x:v>
      </x:c>
      <x:c r="S17" s="23" t="str">
        <x:f>IF(OR(H17="FILL_TO_CAPACITY",AND(H17="EXACT_VOLUME",ISNUMBER(I17),OR(J17="ml",J17="oz",J17="tsp"))),"OK","TBD")</x:f>
        <x:v>OK</x:v>
      </x:c>
    </x:row>
    <x:row r="18" ht="21.600000381469727" hidden="0" customHeight="1">
      <x:c r="A18" s="23" t="str">
        <x:v>champagne_01</x:v>
      </x:c>
      <x:c r="B18" s="23" t="str">
        <x:v>champagne</x:v>
      </x:c>
      <x:c r="C18" s="23" t="n">
        <x:v>1</x:v>
      </x:c>
      <x:c r="D18" s="23" t="str">
        <x:v>POUR</x:v>
      </x:c>
      <x:c r="E18" s="23" t="str">
        <x:v>champagne</x:v>
      </x:c>
      <x:c r="F18" s="23" t="str">
        <x:v>CORE</x:v>
      </x:c>
      <x:c r="G18" s="23" t="str">
        <x:v>MANUAL_SELECT</x:v>
      </x:c>
      <x:c r="H18" s="23" t="str">
        <x:v>EXACT_VOLUME</x:v>
      </x:c>
      <x:c r="I18" s="23" t="n">
        <x:v>8</x:v>
      </x:c>
      <x:c r="J18" s="23" t="str">
        <x:v>oz</x:v>
      </x:c>
      <x:c r="K18" s="23" t="n">
        <x:f>IF(H18&lt;&gt;"EXACT_VOLUME","",IF(J18="ml",I18,IF(J18="oz",I18*SUMIF(SystemConfig!$A$2:$A$22,"unit_oz_to_ml",SystemConfig!$C$2:$C$22),IF(J18="tsp",I18*SUMIF(SystemConfig!$A$2:$A$22,"unit_tsp_to_ml",SystemConfig!$C$2:$C$22),""))))</x:f>
        <x:v>240</x:v>
      </x:c>
      <x:c r="L18" s="28" t="b">
        <x:v>1</x:v>
      </x:c>
      <x:c r="M18" s="23" t="n">
        <x:v>1</x:v>
      </x:c>
      <x:c r="N18" s="28" t="b">
        <x:v>1</x:v>
      </x:c>
      <x:c r="O18" s="23" t="str">
        <x:v>CONFIRMED</x:v>
      </x:c>
      <x:c r="P18" s="23" t="str"/>
      <x:c r="Q18" s="23" t="str">
        <x:f>IF(COUNTIF(Cocktails!$A$2:$A$30,B18)=1,"OK","BAD_FK")</x:f>
        <x:v>OK</x:v>
      </x:c>
      <x:c r="R18" s="23" t="str">
        <x:f>IF(COUNTIF(Ingredients!$A$2:$A$39,E18)=1,"OK","BAD_FK")</x:f>
        <x:v>OK</x:v>
      </x:c>
      <x:c r="S18" s="23" t="str">
        <x:f>IF(OR(H18="FILL_TO_CAPACITY",AND(H18="EXACT_VOLUME",ISNUMBER(I18),OR(J18="ml",J18="oz",J18="tsp"))),"OK","TBD")</x:f>
        <x:v>OK</x:v>
      </x:c>
    </x:row>
    <x:row r="19" ht="21.600000381469727" hidden="0" customHeight="1">
      <x:c r="A19" s="23" t="str">
        <x:v>screwdriver_01</x:v>
      </x:c>
      <x:c r="B19" s="23" t="str">
        <x:v>screwdriver</x:v>
      </x:c>
      <x:c r="C19" s="23" t="n">
        <x:v>1</x:v>
      </x:c>
      <x:c r="D19" s="23" t="str">
        <x:v>POUR</x:v>
      </x:c>
      <x:c r="E19" s="23" t="str">
        <x:v>vodka</x:v>
      </x:c>
      <x:c r="F19" s="23" t="str">
        <x:v>CORE</x:v>
      </x:c>
      <x:c r="G19" s="23" t="str">
        <x:v>MANUAL_SELECT</x:v>
      </x:c>
      <x:c r="H19" s="23" t="str">
        <x:v>EXACT_VOLUME</x:v>
      </x:c>
      <x:c r="I19" s="23" t="n">
        <x:v>1.5</x:v>
      </x:c>
      <x:c r="J19" s="23" t="str">
        <x:v>oz</x:v>
      </x:c>
      <x:c r="K19" s="23" t="n">
        <x:f>IF(H19&lt;&gt;"EXACT_VOLUME","",IF(J19="ml",I19,IF(J19="oz",I19*SUMIF(SystemConfig!$A$2:$A$22,"unit_oz_to_ml",SystemConfig!$C$2:$C$22),IF(J19="tsp",I19*SUMIF(SystemConfig!$A$2:$A$22,"unit_tsp_to_ml",SystemConfig!$C$2:$C$22),""))))</x:f>
        <x:v>45</x:v>
      </x:c>
      <x:c r="L19" s="28" t="b">
        <x:v>1</x:v>
      </x:c>
      <x:c r="M19" s="23" t="n">
        <x:v>1</x:v>
      </x:c>
      <x:c r="N19" s="28" t="b">
        <x:v>1</x:v>
      </x:c>
      <x:c r="O19" s="23" t="str">
        <x:v>CONFIRMED</x:v>
      </x:c>
      <x:c r="P19" s="23" t="str"/>
      <x:c r="Q19" s="23" t="str">
        <x:f>IF(COUNTIF(Cocktails!$A$2:$A$30,B19)=1,"OK","BAD_FK")</x:f>
        <x:v>OK</x:v>
      </x:c>
      <x:c r="R19" s="23" t="str">
        <x:f>IF(COUNTIF(Ingredients!$A$2:$A$39,E19)=1,"OK","BAD_FK")</x:f>
        <x:v>OK</x:v>
      </x:c>
      <x:c r="S19" s="23" t="str">
        <x:f>IF(OR(H19="FILL_TO_CAPACITY",AND(H19="EXACT_VOLUME",ISNUMBER(I19),OR(J19="ml",J19="oz",J19="tsp"))),"OK","TBD")</x:f>
        <x:v>OK</x:v>
      </x:c>
    </x:row>
    <x:row r="20" ht="21.600000381469727" hidden="0" customHeight="1">
      <x:c r="A20" s="23" t="str">
        <x:v>screwdriver_02</x:v>
      </x:c>
      <x:c r="B20" s="23" t="str">
        <x:v>screwdriver</x:v>
      </x:c>
      <x:c r="C20" s="23" t="n">
        <x:v>2</x:v>
      </x:c>
      <x:c r="D20" s="23" t="str">
        <x:v>POUR</x:v>
      </x:c>
      <x:c r="E20" s="23" t="str">
        <x:v>orange_juice</x:v>
      </x:c>
      <x:c r="F20" s="23" t="str">
        <x:v>REQUIRED</x:v>
      </x:c>
      <x:c r="G20" s="23" t="str">
        <x:v>MANUAL_SELECT</x:v>
      </x:c>
      <x:c r="H20" s="23" t="str">
        <x:v>EXACT_VOLUME</x:v>
      </x:c>
      <x:c r="I20" s="23" t="n">
        <x:v>6</x:v>
      </x:c>
      <x:c r="J20" s="23" t="str">
        <x:v>oz</x:v>
      </x:c>
      <x:c r="K20" s="23" t="n">
        <x:f>IF(H20&lt;&gt;"EXACT_VOLUME","",IF(J20="ml",I20,IF(J20="oz",I20*SUMIF(SystemConfig!$A$2:$A$22,"unit_oz_to_ml",SystemConfig!$C$2:$C$22),IF(J20="tsp",I20*SUMIF(SystemConfig!$A$2:$A$22,"unit_tsp_to_ml",SystemConfig!$C$2:$C$22),""))))</x:f>
        <x:v>180</x:v>
      </x:c>
      <x:c r="L20" s="28" t="b">
        <x:v>1</x:v>
      </x:c>
      <x:c r="M20" s="23" t="n">
        <x:v>1</x:v>
      </x:c>
      <x:c r="N20" s="28" t="b">
        <x:v>1</x:v>
      </x:c>
      <x:c r="O20" s="23" t="str">
        <x:v>CONFIRMED</x:v>
      </x:c>
      <x:c r="P20" s="23" t="str"/>
      <x:c r="Q20" s="23" t="str">
        <x:f>IF(COUNTIF(Cocktails!$A$2:$A$30,B20)=1,"OK","BAD_FK")</x:f>
        <x:v>OK</x:v>
      </x:c>
      <x:c r="R20" s="23" t="str">
        <x:f>IF(COUNTIF(Ingredients!$A$2:$A$39,E20)=1,"OK","BAD_FK")</x:f>
        <x:v>OK</x:v>
      </x:c>
      <x:c r="S20" s="23" t="str">
        <x:f>IF(OR(H20="FILL_TO_CAPACITY",AND(H20="EXACT_VOLUME",ISNUMBER(I20),OR(J20="ml",J20="oz",J20="tsp"))),"OK","TBD")</x:f>
        <x:v>OK</x:v>
      </x:c>
    </x:row>
    <x:row r="21" ht="21.600000381469727" hidden="0" customHeight="1">
      <x:c r="A21" s="23" t="str">
        <x:v>moscow_mule_01</x:v>
      </x:c>
      <x:c r="B21" s="23" t="str">
        <x:v>moscow_mule</x:v>
      </x:c>
      <x:c r="C21" s="23" t="n">
        <x:v>1</x:v>
      </x:c>
      <x:c r="D21" s="23" t="str">
        <x:v>POUR</x:v>
      </x:c>
      <x:c r="E21" s="23" t="str">
        <x:v>vodka</x:v>
      </x:c>
      <x:c r="F21" s="23" t="str">
        <x:v>CORE</x:v>
      </x:c>
      <x:c r="G21" s="23" t="str">
        <x:v>MANUAL_SELECT</x:v>
      </x:c>
      <x:c r="H21" s="23" t="str">
        <x:v>EXACT_VOLUME</x:v>
      </x:c>
      <x:c r="I21" s="23" t="n">
        <x:v>1.5</x:v>
      </x:c>
      <x:c r="J21" s="23" t="str">
        <x:v>oz</x:v>
      </x:c>
      <x:c r="K21" s="23" t="n">
        <x:f>IF(H21&lt;&gt;"EXACT_VOLUME","",IF(J21="ml",I21,IF(J21="oz",I21*SUMIF(SystemConfig!$A$2:$A$22,"unit_oz_to_ml",SystemConfig!$C$2:$C$22),IF(J21="tsp",I21*SUMIF(SystemConfig!$A$2:$A$22,"unit_tsp_to_ml",SystemConfig!$C$2:$C$22),""))))</x:f>
        <x:v>45</x:v>
      </x:c>
      <x:c r="L21" s="28" t="b">
        <x:v>1</x:v>
      </x:c>
      <x:c r="M21" s="23" t="n">
        <x:v>1</x:v>
      </x:c>
      <x:c r="N21" s="28" t="b">
        <x:v>1</x:v>
      </x:c>
      <x:c r="O21" s="23" t="str">
        <x:v>CONFIRMED</x:v>
      </x:c>
      <x:c r="P21" s="23" t="str"/>
      <x:c r="Q21" s="23" t="str">
        <x:f>IF(COUNTIF(Cocktails!$A$2:$A$30,B21)=1,"OK","BAD_FK")</x:f>
        <x:v>OK</x:v>
      </x:c>
      <x:c r="R21" s="23" t="str">
        <x:f>IF(COUNTIF(Ingredients!$A$2:$A$39,E21)=1,"OK","BAD_FK")</x:f>
        <x:v>OK</x:v>
      </x:c>
      <x:c r="S21" s="23" t="str">
        <x:f>IF(OR(H21="FILL_TO_CAPACITY",AND(H21="EXACT_VOLUME",ISNUMBER(I21),OR(J21="ml",J21="oz",J21="tsp"))),"OK","TBD")</x:f>
        <x:v>OK</x:v>
      </x:c>
    </x:row>
    <x:row r="22" ht="21.600000381469727" hidden="0" customHeight="1">
      <x:c r="A22" s="23" t="str">
        <x:v>moscow_mule_02</x:v>
      </x:c>
      <x:c r="B22" s="23" t="str">
        <x:v>moscow_mule</x:v>
      </x:c>
      <x:c r="C22" s="23" t="n">
        <x:v>2</x:v>
      </x:c>
      <x:c r="D22" s="23" t="str">
        <x:v>SQUEEZE</x:v>
      </x:c>
      <x:c r="E22" s="23" t="str">
        <x:v>lime</x:v>
      </x:c>
      <x:c r="F22" s="23" t="str">
        <x:v>REQUIRED</x:v>
      </x:c>
      <x:c r="G22" s="23" t="str">
        <x:v>GUIDED_GIMMICK</x:v>
      </x:c>
      <x:c r="H22" s="23" t="str">
        <x:v>EXACT_VOLUME</x:v>
      </x:c>
      <x:c r="I22" s="23" t="n">
        <x:v>0.5</x:v>
      </x:c>
      <x:c r="J22" s="23" t="str">
        <x:v>oz</x:v>
      </x:c>
      <x:c r="K22" s="23" t="n">
        <x:f>IF(H22&lt;&gt;"EXACT_VOLUME","",IF(J22="ml",I22,IF(J22="oz",I22*SUMIF(SystemConfig!$A$2:$A$22,"unit_oz_to_ml",SystemConfig!$C$2:$C$22),IF(J22="tsp",I22*SUMIF(SystemConfig!$A$2:$A$22,"unit_tsp_to_ml",SystemConfig!$C$2:$C$22),""))))</x:f>
        <x:v>15</x:v>
      </x:c>
      <x:c r="L22" s="28" t="b">
        <x:v>1</x:v>
      </x:c>
      <x:c r="M22" s="23" t="n">
        <x:v>1</x:v>
      </x:c>
      <x:c r="N22" s="28" t="b">
        <x:v>0</x:v>
      </x:c>
      <x:c r="O22" s="23" t="str">
        <x:v>CONFIRMED</x:v>
      </x:c>
      <x:c r="P22" s="23" t="str"/>
      <x:c r="Q22" s="23" t="str">
        <x:f>IF(COUNTIF(Cocktails!$A$2:$A$30,B22)=1,"OK","BAD_FK")</x:f>
        <x:v>OK</x:v>
      </x:c>
      <x:c r="R22" s="23" t="str">
        <x:f>IF(COUNTIF(Ingredients!$A$2:$A$39,E22)=1,"OK","BAD_FK")</x:f>
        <x:v>OK</x:v>
      </x:c>
      <x:c r="S22" s="23" t="str">
        <x:f>IF(OR(H22="FILL_TO_CAPACITY",AND(H22="EXACT_VOLUME",ISNUMBER(I22),OR(J22="ml",J22="oz",J22="tsp"))),"OK","TBD")</x:f>
        <x:v>OK</x:v>
      </x:c>
    </x:row>
    <x:row r="23" ht="21.600000381469727" hidden="0" customHeight="1">
      <x:c r="A23" s="23" t="str">
        <x:v>moscow_mule_03</x:v>
      </x:c>
      <x:c r="B23" s="23" t="str">
        <x:v>moscow_mule</x:v>
      </x:c>
      <x:c r="C23" s="23" t="n">
        <x:v>3</x:v>
      </x:c>
      <x:c r="D23" s="23" t="str">
        <x:v>FILL_UP</x:v>
      </x:c>
      <x:c r="E23" s="23" t="str">
        <x:v>ginger_ale</x:v>
      </x:c>
      <x:c r="F23" s="23" t="str">
        <x:v>REQUIRED</x:v>
      </x:c>
      <x:c r="G23" s="23" t="str">
        <x:v>MANUAL_SELECT</x:v>
      </x:c>
      <x:c r="H23" s="23" t="str">
        <x:v>FILL_TO_CAPACITY</x:v>
      </x:c>
      <x:c r="I23" s="23" t="n">
        <x:v>1</x:v>
      </x:c>
      <x:c r="J23" s="23" t="str">
        <x:v>ratio</x:v>
      </x:c>
      <x:c r="K23" s="23" t="str">
        <x:f>IF(H23&lt;&gt;"EXACT_VOLUME","",IF(J23="ml",I23,IF(J23="oz",I23*SUMIF(SystemConfig!$A$2:$A$22,"unit_oz_to_ml",SystemConfig!$C$2:$C$22),IF(J23="tsp",I23*SUMIF(SystemConfig!$A$2:$A$22,"unit_tsp_to_ml",SystemConfig!$C$2:$C$22),""))))</x:f>
      </x:c>
      <x:c r="L23" s="28" t="b">
        <x:v>1</x:v>
      </x:c>
      <x:c r="M23" s="23" t="n">
        <x:v>1</x:v>
      </x:c>
      <x:c r="N23" s="28" t="b">
        <x:v>1</x:v>
      </x:c>
      <x:c r="O23" s="23" t="str">
        <x:v>CONFIRMED</x:v>
      </x:c>
      <x:c r="P23" s="23" t="str">
        <x:v>목표 qty 미확정</x:v>
      </x:c>
      <x:c r="Q23" s="23" t="str">
        <x:f>IF(COUNTIF(Cocktails!$A$2:$A$30,B23)=1,"OK","BAD_FK")</x:f>
        <x:v>OK</x:v>
      </x:c>
      <x:c r="R23" s="23" t="str">
        <x:f>IF(COUNTIF(Ingredients!$A$2:$A$39,E23)=1,"OK","BAD_FK")</x:f>
        <x:v>OK</x:v>
      </x:c>
      <x:c r="S23" s="23" t="str">
        <x:f>IF(OR(H23="FILL_TO_CAPACITY",AND(H23="EXACT_VOLUME",ISNUMBER(I23),OR(J23="ml",J23="oz",J23="tsp"))),"OK","TBD")</x:f>
        <x:v>OK</x:v>
      </x:c>
    </x:row>
    <x:row r="24" ht="21.600000381469727" hidden="0" customHeight="1">
      <x:c r="A24" s="23" t="str">
        <x:v>tequila_sunrise_01</x:v>
      </x:c>
      <x:c r="B24" s="23" t="str">
        <x:v>tequila_sunrise</x:v>
      </x:c>
      <x:c r="C24" s="23" t="n">
        <x:v>1</x:v>
      </x:c>
      <x:c r="D24" s="23" t="str">
        <x:v>POUR</x:v>
      </x:c>
      <x:c r="E24" s="23" t="str">
        <x:v>tequila</x:v>
      </x:c>
      <x:c r="F24" s="23" t="str">
        <x:v>CORE</x:v>
      </x:c>
      <x:c r="G24" s="23" t="str">
        <x:v>MANUAL_SELECT</x:v>
      </x:c>
      <x:c r="H24" s="23" t="str">
        <x:v>EXACT_VOLUME</x:v>
      </x:c>
      <x:c r="I24" s="23" t="n">
        <x:v>1</x:v>
      </x:c>
      <x:c r="J24" s="23" t="str">
        <x:v>oz</x:v>
      </x:c>
      <x:c r="K24" s="23" t="n">
        <x:f>IF(H24&lt;&gt;"EXACT_VOLUME","",IF(J24="ml",I24,IF(J24="oz",I24*SUMIF(SystemConfig!$A$2:$A$22,"unit_oz_to_ml",SystemConfig!$C$2:$C$22),IF(J24="tsp",I24*SUMIF(SystemConfig!$A$2:$A$22,"unit_tsp_to_ml",SystemConfig!$C$2:$C$22),""))))</x:f>
        <x:v>30</x:v>
      </x:c>
      <x:c r="L24" s="28" t="b">
        <x:v>1</x:v>
      </x:c>
      <x:c r="M24" s="23" t="n">
        <x:v>1</x:v>
      </x:c>
      <x:c r="N24" s="28" t="b">
        <x:v>1</x:v>
      </x:c>
      <x:c r="O24" s="23" t="str">
        <x:v>CONFIRMED</x:v>
      </x:c>
      <x:c r="P24" s="23" t="str"/>
      <x:c r="Q24" s="23" t="str">
        <x:f>IF(COUNTIF(Cocktails!$A$2:$A$30,B24)=1,"OK","BAD_FK")</x:f>
        <x:v>OK</x:v>
      </x:c>
      <x:c r="R24" s="23" t="str">
        <x:f>IF(COUNTIF(Ingredients!$A$2:$A$39,E24)=1,"OK","BAD_FK")</x:f>
        <x:v>OK</x:v>
      </x:c>
      <x:c r="S24" s="23" t="str">
        <x:f>IF(OR(H24="FILL_TO_CAPACITY",AND(H24="EXACT_VOLUME",ISNUMBER(I24),OR(J24="ml",J24="oz",J24="tsp"))),"OK","TBD")</x:f>
        <x:v>OK</x:v>
      </x:c>
    </x:row>
    <x:row r="25" ht="21.600000381469727" hidden="0" customHeight="1">
      <x:c r="A25" s="23" t="str">
        <x:v>tequila_sunrise_02</x:v>
      </x:c>
      <x:c r="B25" s="23" t="str">
        <x:v>tequila_sunrise</x:v>
      </x:c>
      <x:c r="C25" s="23" t="n">
        <x:v>2</x:v>
      </x:c>
      <x:c r="D25" s="23" t="str">
        <x:v>POUR</x:v>
      </x:c>
      <x:c r="E25" s="23" t="str">
        <x:v>orange_juice</x:v>
      </x:c>
      <x:c r="F25" s="23" t="str">
        <x:v>REQUIRED</x:v>
      </x:c>
      <x:c r="G25" s="23" t="str">
        <x:v>MANUAL_SELECT</x:v>
      </x:c>
      <x:c r="H25" s="23" t="str">
        <x:v>EXACT_VOLUME</x:v>
      </x:c>
      <x:c r="I25" s="23" t="n">
        <x:v>6</x:v>
      </x:c>
      <x:c r="J25" s="23" t="str">
        <x:v>oz</x:v>
      </x:c>
      <x:c r="K25" s="23" t="n">
        <x:f>IF(H25&lt;&gt;"EXACT_VOLUME","",IF(J25="ml",I25,IF(J25="oz",I25*SUMIF(SystemConfig!$A$2:$A$22,"unit_oz_to_ml",SystemConfig!$C$2:$C$22),IF(J25="tsp",I25*SUMIF(SystemConfig!$A$2:$A$22,"unit_tsp_to_ml",SystemConfig!$C$2:$C$22),""))))</x:f>
        <x:v>180</x:v>
      </x:c>
      <x:c r="L25" s="28" t="b">
        <x:v>1</x:v>
      </x:c>
      <x:c r="M25" s="23" t="n">
        <x:v>1</x:v>
      </x:c>
      <x:c r="N25" s="28" t="b">
        <x:v>1</x:v>
      </x:c>
      <x:c r="O25" s="23" t="str">
        <x:v>CONFIRMED</x:v>
      </x:c>
      <x:c r="P25" s="23" t="str"/>
      <x:c r="Q25" s="23" t="str">
        <x:f>IF(COUNTIF(Cocktails!$A$2:$A$30,B25)=1,"OK","BAD_FK")</x:f>
        <x:v>OK</x:v>
      </x:c>
      <x:c r="R25" s="23" t="str">
        <x:f>IF(COUNTIF(Ingredients!$A$2:$A$39,E25)=1,"OK","BAD_FK")</x:f>
        <x:v>OK</x:v>
      </x:c>
      <x:c r="S25" s="23" t="str">
        <x:f>IF(OR(H25="FILL_TO_CAPACITY",AND(H25="EXACT_VOLUME",ISNUMBER(I25),OR(J25="ml",J25="oz",J25="tsp"))),"OK","TBD")</x:f>
        <x:v>OK</x:v>
      </x:c>
    </x:row>
    <x:row r="26" ht="32.400001525878906" hidden="0" customHeight="1">
      <x:c r="A26" s="23" t="str">
        <x:v>godfather_01</x:v>
      </x:c>
      <x:c r="B26" s="23" t="str">
        <x:v>godfather</x:v>
      </x:c>
      <x:c r="C26" s="23" t="n">
        <x:v>1</x:v>
      </x:c>
      <x:c r="D26" s="23" t="str">
        <x:v>POUR</x:v>
      </x:c>
      <x:c r="E26" s="23" t="str">
        <x:v>whiskey</x:v>
      </x:c>
      <x:c r="F26" s="23" t="str">
        <x:v>CORE</x:v>
      </x:c>
      <x:c r="G26" s="23" t="str">
        <x:v>MANUAL_SELECT</x:v>
      </x:c>
      <x:c r="H26" s="23" t="str">
        <x:v>TBD</x:v>
      </x:c>
      <x:c r="I26" s="23" t="str"/>
      <x:c r="J26" s="23" t="str"/>
      <x:c r="K26" s="23" t="str">
        <x:f>IF(H26&lt;&gt;"EXACT_VOLUME","",IF(J26="ml",I26,IF(J26="oz",I26*SUMIF(SystemConfig!$A$2:$A$22,"unit_oz_to_ml",SystemConfig!$C$2:$C$22),IF(J26="tsp",I26*SUMIF(SystemConfig!$A$2:$A$22,"unit_tsp_to_ml",SystemConfig!$C$2:$C$22),""))))</x:f>
      </x:c>
      <x:c r="L26" s="28" t="b">
        <x:v>0</x:v>
      </x:c>
      <x:c r="M26" s="23" t="n">
        <x:v>0</x:v>
      </x:c>
      <x:c r="N26" s="28" t="b">
        <x:v>1</x:v>
      </x:c>
      <x:c r="O26" s="23" t="str">
        <x:v>NEEDS_RECIPE</x:v>
      </x:c>
      <x:c r="P26" s="23" t="str">
        <x:v>재료 구성·qty·unit 최종 확인 필요</x:v>
      </x:c>
      <x:c r="Q26" s="23" t="str">
        <x:f>IF(COUNTIF(Cocktails!$A$2:$A$30,B26)=1,"OK","BAD_FK")</x:f>
        <x:v>OK</x:v>
      </x:c>
      <x:c r="R26" s="23" t="str">
        <x:f>IF(COUNTIF(Ingredients!$A$2:$A$39,E26)=1,"OK","BAD_FK")</x:f>
        <x:v>OK</x:v>
      </x:c>
      <x:c r="S26" s="23" t="str">
        <x:f>IF(OR(H26="FILL_TO_CAPACITY",AND(H26="EXACT_VOLUME",ISNUMBER(I26),OR(J26="ml",J26="oz",J26="tsp"))),"OK","TBD")</x:f>
        <x:v>TBD</x:v>
      </x:c>
    </x:row>
    <x:row r="27" ht="32.400001525878906" hidden="0" customHeight="1">
      <x:c r="A27" s="23" t="str">
        <x:v>godfather_02</x:v>
      </x:c>
      <x:c r="B27" s="23" t="str">
        <x:v>godfather</x:v>
      </x:c>
      <x:c r="C27" s="23" t="n">
        <x:v>2</x:v>
      </x:c>
      <x:c r="D27" s="23" t="str">
        <x:v>POUR</x:v>
      </x:c>
      <x:c r="E27" s="23" t="str">
        <x:v>amaretto</x:v>
      </x:c>
      <x:c r="F27" s="23" t="str">
        <x:v>REQUIRED</x:v>
      </x:c>
      <x:c r="G27" s="23" t="str">
        <x:v>MANUAL_SELECT</x:v>
      </x:c>
      <x:c r="H27" s="23" t="str">
        <x:v>TBD</x:v>
      </x:c>
      <x:c r="I27" s="23" t="str"/>
      <x:c r="J27" s="23" t="str"/>
      <x:c r="K27" s="23" t="str">
        <x:f>IF(H27&lt;&gt;"EXACT_VOLUME","",IF(J27="ml",I27,IF(J27="oz",I27*SUMIF(SystemConfig!$A$2:$A$22,"unit_oz_to_ml",SystemConfig!$C$2:$C$22),IF(J27="tsp",I27*SUMIF(SystemConfig!$A$2:$A$22,"unit_tsp_to_ml",SystemConfig!$C$2:$C$22),""))))</x:f>
      </x:c>
      <x:c r="L27" s="28" t="b">
        <x:v>0</x:v>
      </x:c>
      <x:c r="M27" s="23" t="n">
        <x:v>0</x:v>
      </x:c>
      <x:c r="N27" s="28" t="b">
        <x:v>1</x:v>
      </x:c>
      <x:c r="O27" s="23" t="str">
        <x:v>NEEDS_RECIPE</x:v>
      </x:c>
      <x:c r="P27" s="23" t="str">
        <x:v>재료 구성·qty·unit 최종 확인 필요</x:v>
      </x:c>
      <x:c r="Q27" s="23" t="str">
        <x:f>IF(COUNTIF(Cocktails!$A$2:$A$30,B27)=1,"OK","BAD_FK")</x:f>
        <x:v>OK</x:v>
      </x:c>
      <x:c r="R27" s="23" t="str">
        <x:f>IF(COUNTIF(Ingredients!$A$2:$A$39,E27)=1,"OK","BAD_FK")</x:f>
        <x:v>OK</x:v>
      </x:c>
      <x:c r="S27" s="23" t="str">
        <x:f>IF(OR(H27="FILL_TO_CAPACITY",AND(H27="EXACT_VOLUME",ISNUMBER(I27),OR(J27="ml",J27="oz",J27="tsp"))),"OK","TBD")</x:f>
        <x:v>TBD</x:v>
      </x:c>
    </x:row>
    <x:row r="28" ht="32.400001525878906" hidden="0" customHeight="1">
      <x:c r="A28" s="23" t="str">
        <x:v>godmother_01</x:v>
      </x:c>
      <x:c r="B28" s="23" t="str">
        <x:v>godmother</x:v>
      </x:c>
      <x:c r="C28" s="23" t="n">
        <x:v>1</x:v>
      </x:c>
      <x:c r="D28" s="23" t="str">
        <x:v>POUR</x:v>
      </x:c>
      <x:c r="E28" s="23" t="str">
        <x:v>vodka</x:v>
      </x:c>
      <x:c r="F28" s="23" t="str">
        <x:v>CORE</x:v>
      </x:c>
      <x:c r="G28" s="23" t="str">
        <x:v>MANUAL_SELECT</x:v>
      </x:c>
      <x:c r="H28" s="23" t="str">
        <x:v>TBD</x:v>
      </x:c>
      <x:c r="I28" s="23" t="str"/>
      <x:c r="J28" s="23" t="str"/>
      <x:c r="K28" s="23" t="str">
        <x:f>IF(H28&lt;&gt;"EXACT_VOLUME","",IF(J28="ml",I28,IF(J28="oz",I28*SUMIF(SystemConfig!$A$2:$A$22,"unit_oz_to_ml",SystemConfig!$C$2:$C$22),IF(J28="tsp",I28*SUMIF(SystemConfig!$A$2:$A$22,"unit_tsp_to_ml",SystemConfig!$C$2:$C$22),""))))</x:f>
      </x:c>
      <x:c r="L28" s="28" t="b">
        <x:v>0</x:v>
      </x:c>
      <x:c r="M28" s="23" t="n">
        <x:v>0</x:v>
      </x:c>
      <x:c r="N28" s="28" t="b">
        <x:v>1</x:v>
      </x:c>
      <x:c r="O28" s="23" t="str">
        <x:v>NEEDS_RECIPE</x:v>
      </x:c>
      <x:c r="P28" s="23" t="str">
        <x:v>재료 구성·qty·unit 최종 확인 필요</x:v>
      </x:c>
      <x:c r="Q28" s="23" t="str">
        <x:f>IF(COUNTIF(Cocktails!$A$2:$A$30,B28)=1,"OK","BAD_FK")</x:f>
        <x:v>OK</x:v>
      </x:c>
      <x:c r="R28" s="23" t="str">
        <x:f>IF(COUNTIF(Ingredients!$A$2:$A$39,E28)=1,"OK","BAD_FK")</x:f>
        <x:v>OK</x:v>
      </x:c>
      <x:c r="S28" s="23" t="str">
        <x:f>IF(OR(H28="FILL_TO_CAPACITY",AND(H28="EXACT_VOLUME",ISNUMBER(I28),OR(J28="ml",J28="oz",J28="tsp"))),"OK","TBD")</x:f>
        <x:v>TBD</x:v>
      </x:c>
    </x:row>
    <x:row r="29" ht="32.400001525878906" hidden="0" customHeight="1">
      <x:c r="A29" s="23" t="str">
        <x:v>godmother_02</x:v>
      </x:c>
      <x:c r="B29" s="23" t="str">
        <x:v>godmother</x:v>
      </x:c>
      <x:c r="C29" s="23" t="n">
        <x:v>2</x:v>
      </x:c>
      <x:c r="D29" s="23" t="str">
        <x:v>POUR</x:v>
      </x:c>
      <x:c r="E29" s="23" t="str">
        <x:v>amaretto</x:v>
      </x:c>
      <x:c r="F29" s="23" t="str">
        <x:v>REQUIRED</x:v>
      </x:c>
      <x:c r="G29" s="23" t="str">
        <x:v>MANUAL_SELECT</x:v>
      </x:c>
      <x:c r="H29" s="23" t="str">
        <x:v>TBD</x:v>
      </x:c>
      <x:c r="I29" s="23" t="str"/>
      <x:c r="J29" s="23" t="str"/>
      <x:c r="K29" s="23" t="str">
        <x:f>IF(H29&lt;&gt;"EXACT_VOLUME","",IF(J29="ml",I29,IF(J29="oz",I29*SUMIF(SystemConfig!$A$2:$A$22,"unit_oz_to_ml",SystemConfig!$C$2:$C$22),IF(J29="tsp",I29*SUMIF(SystemConfig!$A$2:$A$22,"unit_tsp_to_ml",SystemConfig!$C$2:$C$22),""))))</x:f>
      </x:c>
      <x:c r="L29" s="28" t="b">
        <x:v>0</x:v>
      </x:c>
      <x:c r="M29" s="23" t="n">
        <x:v>0</x:v>
      </x:c>
      <x:c r="N29" s="28" t="b">
        <x:v>1</x:v>
      </x:c>
      <x:c r="O29" s="23" t="str">
        <x:v>NEEDS_RECIPE</x:v>
      </x:c>
      <x:c r="P29" s="23" t="str">
        <x:v>재료 구성·qty·unit 최종 확인 필요</x:v>
      </x:c>
      <x:c r="Q29" s="23" t="str">
        <x:f>IF(COUNTIF(Cocktails!$A$2:$A$30,B29)=1,"OK","BAD_FK")</x:f>
        <x:v>OK</x:v>
      </x:c>
      <x:c r="R29" s="23" t="str">
        <x:f>IF(COUNTIF(Ingredients!$A$2:$A$39,E29)=1,"OK","BAD_FK")</x:f>
        <x:v>OK</x:v>
      </x:c>
      <x:c r="S29" s="23" t="str">
        <x:f>IF(OR(H29="FILL_TO_CAPACITY",AND(H29="EXACT_VOLUME",ISNUMBER(I29),OR(J29="ml",J29="oz",J29="tsp"))),"OK","TBD")</x:f>
        <x:v>TBD</x:v>
      </x:c>
    </x:row>
    <x:row r="30" ht="32.400001525878906" hidden="0" customHeight="1">
      <x:c r="A30" s="23" t="str">
        <x:v>french_connection_01</x:v>
      </x:c>
      <x:c r="B30" s="23" t="str">
        <x:v>french_connection</x:v>
      </x:c>
      <x:c r="C30" s="23" t="n">
        <x:v>1</x:v>
      </x:c>
      <x:c r="D30" s="23" t="str">
        <x:v>POUR</x:v>
      </x:c>
      <x:c r="E30" s="23" t="str">
        <x:v>brandy</x:v>
      </x:c>
      <x:c r="F30" s="23" t="str">
        <x:v>CORE</x:v>
      </x:c>
      <x:c r="G30" s="23" t="str">
        <x:v>MANUAL_SELECT</x:v>
      </x:c>
      <x:c r="H30" s="23" t="str">
        <x:v>TBD</x:v>
      </x:c>
      <x:c r="I30" s="23" t="str"/>
      <x:c r="J30" s="23" t="str"/>
      <x:c r="K30" s="23" t="str">
        <x:f>IF(H30&lt;&gt;"EXACT_VOLUME","",IF(J30="ml",I30,IF(J30="oz",I30*SUMIF(SystemConfig!$A$2:$A$22,"unit_oz_to_ml",SystemConfig!$C$2:$C$22),IF(J30="tsp",I30*SUMIF(SystemConfig!$A$2:$A$22,"unit_tsp_to_ml",SystemConfig!$C$2:$C$22),""))))</x:f>
      </x:c>
      <x:c r="L30" s="28" t="b">
        <x:v>0</x:v>
      </x:c>
      <x:c r="M30" s="23" t="n">
        <x:v>0</x:v>
      </x:c>
      <x:c r="N30" s="28" t="b">
        <x:v>1</x:v>
      </x:c>
      <x:c r="O30" s="23" t="str">
        <x:v>NEEDS_RECIPE</x:v>
      </x:c>
      <x:c r="P30" s="23" t="str">
        <x:v>재료 구성·qty·unit 최종 확인 필요</x:v>
      </x:c>
      <x:c r="Q30" s="23" t="str">
        <x:f>IF(COUNTIF(Cocktails!$A$2:$A$30,B30)=1,"OK","BAD_FK")</x:f>
        <x:v>OK</x:v>
      </x:c>
      <x:c r="R30" s="23" t="str">
        <x:f>IF(COUNTIF(Ingredients!$A$2:$A$39,E30)=1,"OK","BAD_FK")</x:f>
        <x:v>OK</x:v>
      </x:c>
      <x:c r="S30" s="23" t="str">
        <x:f>IF(OR(H30="FILL_TO_CAPACITY",AND(H30="EXACT_VOLUME",ISNUMBER(I30),OR(J30="ml",J30="oz",J30="tsp"))),"OK","TBD")</x:f>
        <x:v>TBD</x:v>
      </x:c>
    </x:row>
    <x:row r="31" ht="32.400001525878906" hidden="0" customHeight="1">
      <x:c r="A31" s="23" t="str">
        <x:v>french_connection_02</x:v>
      </x:c>
      <x:c r="B31" s="23" t="str">
        <x:v>french_connection</x:v>
      </x:c>
      <x:c r="C31" s="23" t="n">
        <x:v>2</x:v>
      </x:c>
      <x:c r="D31" s="23" t="str">
        <x:v>POUR</x:v>
      </x:c>
      <x:c r="E31" s="23" t="str">
        <x:v>amaretto</x:v>
      </x:c>
      <x:c r="F31" s="23" t="str">
        <x:v>REQUIRED</x:v>
      </x:c>
      <x:c r="G31" s="23" t="str">
        <x:v>MANUAL_SELECT</x:v>
      </x:c>
      <x:c r="H31" s="23" t="str">
        <x:v>TBD</x:v>
      </x:c>
      <x:c r="I31" s="23" t="str"/>
      <x:c r="J31" s="23" t="str"/>
      <x:c r="K31" s="23" t="str">
        <x:f>IF(H31&lt;&gt;"EXACT_VOLUME","",IF(J31="ml",I31,IF(J31="oz",I31*SUMIF(SystemConfig!$A$2:$A$22,"unit_oz_to_ml",SystemConfig!$C$2:$C$22),IF(J31="tsp",I31*SUMIF(SystemConfig!$A$2:$A$22,"unit_tsp_to_ml",SystemConfig!$C$2:$C$22),""))))</x:f>
      </x:c>
      <x:c r="L31" s="28" t="b">
        <x:v>0</x:v>
      </x:c>
      <x:c r="M31" s="23" t="n">
        <x:v>0</x:v>
      </x:c>
      <x:c r="N31" s="28" t="b">
        <x:v>1</x:v>
      </x:c>
      <x:c r="O31" s="23" t="str">
        <x:v>NEEDS_RECIPE</x:v>
      </x:c>
      <x:c r="P31" s="23" t="str">
        <x:v>재료 구성·qty·unit 최종 확인 필요</x:v>
      </x:c>
      <x:c r="Q31" s="23" t="str">
        <x:f>IF(COUNTIF(Cocktails!$A$2:$A$30,B31)=1,"OK","BAD_FK")</x:f>
        <x:v>OK</x:v>
      </x:c>
      <x:c r="R31" s="23" t="str">
        <x:f>IF(COUNTIF(Ingredients!$A$2:$A$39,E31)=1,"OK","BAD_FK")</x:f>
        <x:v>OK</x:v>
      </x:c>
      <x:c r="S31" s="23" t="str">
        <x:f>IF(OR(H31="FILL_TO_CAPACITY",AND(H31="EXACT_VOLUME",ISNUMBER(I31),OR(J31="ml",J31="oz",J31="tsp"))),"OK","TBD")</x:f>
        <x:v>TBD</x:v>
      </x:c>
    </x:row>
    <x:row r="32" ht="21.600000381469727" hidden="0" customHeight="1">
      <x:c r="A32" s="23" t="str">
        <x:v>whiskey_sour_01</x:v>
      </x:c>
      <x:c r="B32" s="23" t="str">
        <x:v>whiskey_sour</x:v>
      </x:c>
      <x:c r="C32" s="23" t="n">
        <x:v>1</x:v>
      </x:c>
      <x:c r="D32" s="23" t="str">
        <x:v>POUR</x:v>
      </x:c>
      <x:c r="E32" s="23" t="str">
        <x:v>whiskey</x:v>
      </x:c>
      <x:c r="F32" s="23" t="str">
        <x:v>CORE</x:v>
      </x:c>
      <x:c r="G32" s="23" t="str">
        <x:v>MANUAL_SELECT</x:v>
      </x:c>
      <x:c r="H32" s="23" t="str">
        <x:v>EXACT_VOLUME</x:v>
      </x:c>
      <x:c r="I32" s="23" t="n">
        <x:v>1.5</x:v>
      </x:c>
      <x:c r="J32" s="23" t="str">
        <x:v>oz</x:v>
      </x:c>
      <x:c r="K32" s="23" t="n">
        <x:f>IF(H32&lt;&gt;"EXACT_VOLUME","",IF(J32="ml",I32,IF(J32="oz",I32*SUMIF(SystemConfig!$A$2:$A$22,"unit_oz_to_ml",SystemConfig!$C$2:$C$22),IF(J32="tsp",I32*SUMIF(SystemConfig!$A$2:$A$22,"unit_tsp_to_ml",SystemConfig!$C$2:$C$22),""))))</x:f>
        <x:v>45</x:v>
      </x:c>
      <x:c r="L32" s="28" t="b">
        <x:v>1</x:v>
      </x:c>
      <x:c r="M32" s="23" t="n">
        <x:v>1</x:v>
      </x:c>
      <x:c r="N32" s="28" t="b">
        <x:v>1</x:v>
      </x:c>
      <x:c r="O32" s="23" t="str">
        <x:v>CONFIRMED</x:v>
      </x:c>
      <x:c r="P32" s="23" t="str"/>
      <x:c r="Q32" s="23" t="str">
        <x:f>IF(COUNTIF(Cocktails!$A$2:$A$30,B32)=1,"OK","BAD_FK")</x:f>
        <x:v>OK</x:v>
      </x:c>
      <x:c r="R32" s="23" t="str">
        <x:f>IF(COUNTIF(Ingredients!$A$2:$A$39,E32)=1,"OK","BAD_FK")</x:f>
        <x:v>OK</x:v>
      </x:c>
      <x:c r="S32" s="23" t="str">
        <x:f>IF(OR(H32="FILL_TO_CAPACITY",AND(H32="EXACT_VOLUME",ISNUMBER(I32),OR(J32="ml",J32="oz",J32="tsp"))),"OK","TBD")</x:f>
        <x:v>OK</x:v>
      </x:c>
    </x:row>
    <x:row r="33" ht="21.600000381469727" hidden="0" customHeight="1">
      <x:c r="A33" s="23" t="str">
        <x:v>whiskey_sour_02</x:v>
      </x:c>
      <x:c r="B33" s="23" t="str">
        <x:v>whiskey_sour</x:v>
      </x:c>
      <x:c r="C33" s="23" t="n">
        <x:v>2</x:v>
      </x:c>
      <x:c r="D33" s="23" t="str">
        <x:v>SQUEEZE</x:v>
      </x:c>
      <x:c r="E33" s="23" t="str">
        <x:v>lemon</x:v>
      </x:c>
      <x:c r="F33" s="23" t="str">
        <x:v>REQUIRED</x:v>
      </x:c>
      <x:c r="G33" s="23" t="str">
        <x:v>GUIDED_GIMMICK</x:v>
      </x:c>
      <x:c r="H33" s="23" t="str">
        <x:v>EXACT_VOLUME</x:v>
      </x:c>
      <x:c r="I33" s="23" t="n">
        <x:v>0.5</x:v>
      </x:c>
      <x:c r="J33" s="23" t="str">
        <x:v>oz</x:v>
      </x:c>
      <x:c r="K33" s="23" t="n">
        <x:f>IF(H33&lt;&gt;"EXACT_VOLUME","",IF(J33="ml",I33,IF(J33="oz",I33*SUMIF(SystemConfig!$A$2:$A$22,"unit_oz_to_ml",SystemConfig!$C$2:$C$22),IF(J33="tsp",I33*SUMIF(SystemConfig!$A$2:$A$22,"unit_tsp_to_ml",SystemConfig!$C$2:$C$22),""))))</x:f>
        <x:v>15</x:v>
      </x:c>
      <x:c r="L33" s="28" t="b">
        <x:v>1</x:v>
      </x:c>
      <x:c r="M33" s="23" t="n">
        <x:v>1</x:v>
      </x:c>
      <x:c r="N33" s="28" t="b">
        <x:v>0</x:v>
      </x:c>
      <x:c r="O33" s="23" t="str">
        <x:v>CONFIRMED</x:v>
      </x:c>
      <x:c r="P33" s="23" t="str"/>
      <x:c r="Q33" s="23" t="str">
        <x:f>IF(COUNTIF(Cocktails!$A$2:$A$30,B33)=1,"OK","BAD_FK")</x:f>
        <x:v>OK</x:v>
      </x:c>
      <x:c r="R33" s="23" t="str">
        <x:f>IF(COUNTIF(Ingredients!$A$2:$A$39,E33)=1,"OK","BAD_FK")</x:f>
        <x:v>OK</x:v>
      </x:c>
      <x:c r="S33" s="23" t="str">
        <x:f>IF(OR(H33="FILL_TO_CAPACITY",AND(H33="EXACT_VOLUME",ISNUMBER(I33),OR(J33="ml",J33="oz",J33="tsp"))),"OK","TBD")</x:f>
        <x:v>OK</x:v>
      </x:c>
    </x:row>
    <x:row r="34" ht="21.600000381469727" hidden="0" customHeight="1">
      <x:c r="A34" s="23" t="str">
        <x:v>whiskey_sour_03</x:v>
      </x:c>
      <x:c r="B34" s="23" t="str">
        <x:v>whiskey_sour</x:v>
      </x:c>
      <x:c r="C34" s="23" t="n">
        <x:v>3</x:v>
      </x:c>
      <x:c r="D34" s="23" t="str">
        <x:v>POWDER</x:v>
      </x:c>
      <x:c r="E34" s="23" t="str">
        <x:v>sugar</x:v>
      </x:c>
      <x:c r="F34" s="23" t="str">
        <x:v>REQUIRED</x:v>
      </x:c>
      <x:c r="G34" s="23" t="str">
        <x:v>AUTO_APPLY</x:v>
      </x:c>
      <x:c r="H34" s="23" t="str">
        <x:v>EXACT_VOLUME</x:v>
      </x:c>
      <x:c r="I34" s="23" t="n">
        <x:v>1</x:v>
      </x:c>
      <x:c r="J34" s="23" t="str">
        <x:v>tsp</x:v>
      </x:c>
      <x:c r="K34" s="23" t="n">
        <x:f>IF(H34&lt;&gt;"EXACT_VOLUME","",IF(J34="ml",I34,IF(J34="oz",I34*SUMIF(SystemConfig!$A$2:$A$22,"unit_oz_to_ml",SystemConfig!$C$2:$C$22),IF(J34="tsp",I34*SUMIF(SystemConfig!$A$2:$A$22,"unit_tsp_to_ml",SystemConfig!$C$2:$C$22),""))))</x:f>
        <x:v>5</x:v>
      </x:c>
      <x:c r="L34" s="28" t="b">
        <x:v>0</x:v>
      </x:c>
      <x:c r="M34" s="23" t="n">
        <x:v>0</x:v>
      </x:c>
      <x:c r="N34" s="28" t="b">
        <x:v>1</x:v>
      </x:c>
      <x:c r="O34" s="23" t="str">
        <x:v>CONFIRMED</x:v>
      </x:c>
      <x:c r="P34" s="23" t="str"/>
      <x:c r="Q34" s="23" t="str">
        <x:f>IF(COUNTIF(Cocktails!$A$2:$A$30,B34)=1,"OK","BAD_FK")</x:f>
        <x:v>OK</x:v>
      </x:c>
      <x:c r="R34" s="23" t="str">
        <x:f>IF(COUNTIF(Ingredients!$A$2:$A$39,E34)=1,"OK","BAD_FK")</x:f>
        <x:v>OK</x:v>
      </x:c>
      <x:c r="S34" s="23" t="str">
        <x:f>IF(OR(H34="FILL_TO_CAPACITY",AND(H34="EXACT_VOLUME",ISNUMBER(I34),OR(J34="ml",J34="oz",J34="tsp"))),"OK","TBD")</x:f>
        <x:v>OK</x:v>
      </x:c>
    </x:row>
    <x:row r="35" ht="21.600000381469727" hidden="0" customHeight="1">
      <x:c r="A35" s="23" t="str">
        <x:v>whiskey_sour_04</x:v>
      </x:c>
      <x:c r="B35" s="23" t="str">
        <x:v>whiskey_sour</x:v>
      </x:c>
      <x:c r="C35" s="23" t="n">
        <x:v>4</x:v>
      </x:c>
      <x:c r="D35" s="23" t="str">
        <x:v>FILL_UP</x:v>
      </x:c>
      <x:c r="E35" s="23" t="str">
        <x:v>sour_mix</x:v>
      </x:c>
      <x:c r="F35" s="23" t="str">
        <x:v>REQUIRED</x:v>
      </x:c>
      <x:c r="G35" s="23" t="str">
        <x:v>MANUAL_SELECT</x:v>
      </x:c>
      <x:c r="H35" s="23" t="str">
        <x:v>FILL_TO_CAPACITY</x:v>
      </x:c>
      <x:c r="I35" s="23" t="n">
        <x:v>1</x:v>
      </x:c>
      <x:c r="J35" s="23" t="str">
        <x:v>ratio</x:v>
      </x:c>
      <x:c r="K35" s="23" t="str">
        <x:f>IF(H35&lt;&gt;"EXACT_VOLUME","",IF(J35="ml",I35,IF(J35="oz",I35*SUMIF(SystemConfig!$A$2:$A$22,"unit_oz_to_ml",SystemConfig!$C$2:$C$22),IF(J35="tsp",I35*SUMIF(SystemConfig!$A$2:$A$22,"unit_tsp_to_ml",SystemConfig!$C$2:$C$22),""))))</x:f>
      </x:c>
      <x:c r="L35" s="28" t="b">
        <x:v>1</x:v>
      </x:c>
      <x:c r="M35" s="23" t="n">
        <x:v>1</x:v>
      </x:c>
      <x:c r="N35" s="28" t="b">
        <x:v>1</x:v>
      </x:c>
      <x:c r="O35" s="23" t="str">
        <x:v>CONFIRMED</x:v>
      </x:c>
      <x:c r="P35" s="23" t="str">
        <x:v>목표 qty 미확정</x:v>
      </x:c>
      <x:c r="Q35" s="23" t="str">
        <x:f>IF(COUNTIF(Cocktails!$A$2:$A$30,B35)=1,"OK","BAD_FK")</x:f>
        <x:v>OK</x:v>
      </x:c>
      <x:c r="R35" s="23" t="str">
        <x:f>IF(COUNTIF(Ingredients!$A$2:$A$39,E35)=1,"OK","BAD_FK")</x:f>
        <x:v>OK</x:v>
      </x:c>
      <x:c r="S35" s="23" t="str">
        <x:f>IF(OR(H35="FILL_TO_CAPACITY",AND(H35="EXACT_VOLUME",ISNUMBER(I35),OR(J35="ml",J35="oz",J35="tsp"))),"OK","TBD")</x:f>
        <x:v>OK</x:v>
      </x:c>
    </x:row>
    <x:row r="36" ht="32.400001525878906" hidden="0" customHeight="1">
      <x:c r="A36" s="23" t="str">
        <x:v>brandy_sour_01</x:v>
      </x:c>
      <x:c r="B36" s="23" t="str">
        <x:v>brandy_sour</x:v>
      </x:c>
      <x:c r="C36" s="23" t="n">
        <x:v>1</x:v>
      </x:c>
      <x:c r="D36" s="23" t="str">
        <x:v>POUR</x:v>
      </x:c>
      <x:c r="E36" s="23" t="str">
        <x:v>brandy</x:v>
      </x:c>
      <x:c r="F36" s="23" t="str">
        <x:v>CORE</x:v>
      </x:c>
      <x:c r="G36" s="23" t="str">
        <x:v>MANUAL_SELECT</x:v>
      </x:c>
      <x:c r="H36" s="23" t="str">
        <x:v>TBD</x:v>
      </x:c>
      <x:c r="I36" s="23" t="str"/>
      <x:c r="J36" s="23" t="str"/>
      <x:c r="K36" s="23" t="str">
        <x:f>IF(H36&lt;&gt;"EXACT_VOLUME","",IF(J36="ml",I36,IF(J36="oz",I36*SUMIF(SystemConfig!$A$2:$A$22,"unit_oz_to_ml",SystemConfig!$C$2:$C$22),IF(J36="tsp",I36*SUMIF(SystemConfig!$A$2:$A$22,"unit_tsp_to_ml",SystemConfig!$C$2:$C$22),""))))</x:f>
      </x:c>
      <x:c r="L36" s="28" t="b">
        <x:v>0</x:v>
      </x:c>
      <x:c r="M36" s="23" t="n">
        <x:v>0</x:v>
      </x:c>
      <x:c r="N36" s="28" t="b">
        <x:v>1</x:v>
      </x:c>
      <x:c r="O36" s="23" t="str">
        <x:v>NEEDS_RECIPE</x:v>
      </x:c>
      <x:c r="P36" s="23" t="str">
        <x:v>재료 구성·qty·unit 최종 확인 필요</x:v>
      </x:c>
      <x:c r="Q36" s="23" t="str">
        <x:f>IF(COUNTIF(Cocktails!$A$2:$A$30,B36)=1,"OK","BAD_FK")</x:f>
        <x:v>OK</x:v>
      </x:c>
      <x:c r="R36" s="23" t="str">
        <x:f>IF(COUNTIF(Ingredients!$A$2:$A$39,E36)=1,"OK","BAD_FK")</x:f>
        <x:v>OK</x:v>
      </x:c>
      <x:c r="S36" s="23" t="str">
        <x:f>IF(OR(H36="FILL_TO_CAPACITY",AND(H36="EXACT_VOLUME",ISNUMBER(I36),OR(J36="ml",J36="oz",J36="tsp"))),"OK","TBD")</x:f>
        <x:v>TBD</x:v>
      </x:c>
    </x:row>
    <x:row r="37" ht="32.400001525878906" hidden="0" customHeight="1">
      <x:c r="A37" s="23" t="str">
        <x:v>brandy_sour_02</x:v>
      </x:c>
      <x:c r="B37" s="23" t="str">
        <x:v>brandy_sour</x:v>
      </x:c>
      <x:c r="C37" s="23" t="n">
        <x:v>2</x:v>
      </x:c>
      <x:c r="D37" s="23" t="str">
        <x:v>SQUEEZE</x:v>
      </x:c>
      <x:c r="E37" s="23" t="str">
        <x:v>lemon</x:v>
      </x:c>
      <x:c r="F37" s="23" t="str">
        <x:v>REQUIRED</x:v>
      </x:c>
      <x:c r="G37" s="23" t="str">
        <x:v>GUIDED_GIMMICK</x:v>
      </x:c>
      <x:c r="H37" s="23" t="str">
        <x:v>TBD</x:v>
      </x:c>
      <x:c r="I37" s="23" t="str"/>
      <x:c r="J37" s="23" t="str"/>
      <x:c r="K37" s="23" t="str">
        <x:f>IF(H37&lt;&gt;"EXACT_VOLUME","",IF(J37="ml",I37,IF(J37="oz",I37*SUMIF(SystemConfig!$A$2:$A$22,"unit_oz_to_ml",SystemConfig!$C$2:$C$22),IF(J37="tsp",I37*SUMIF(SystemConfig!$A$2:$A$22,"unit_tsp_to_ml",SystemConfig!$C$2:$C$22),""))))</x:f>
      </x:c>
      <x:c r="L37" s="28" t="b">
        <x:v>0</x:v>
      </x:c>
      <x:c r="M37" s="23" t="n">
        <x:v>0</x:v>
      </x:c>
      <x:c r="N37" s="28" t="b">
        <x:v>0</x:v>
      </x:c>
      <x:c r="O37" s="23" t="str">
        <x:v>NEEDS_RECIPE</x:v>
      </x:c>
      <x:c r="P37" s="23" t="str">
        <x:v>재료 구성·qty·unit 최종 확인 필요</x:v>
      </x:c>
      <x:c r="Q37" s="23" t="str">
        <x:f>IF(COUNTIF(Cocktails!$A$2:$A$30,B37)=1,"OK","BAD_FK")</x:f>
        <x:v>OK</x:v>
      </x:c>
      <x:c r="R37" s="23" t="str">
        <x:f>IF(COUNTIF(Ingredients!$A$2:$A$39,E37)=1,"OK","BAD_FK")</x:f>
        <x:v>OK</x:v>
      </x:c>
      <x:c r="S37" s="23" t="str">
        <x:f>IF(OR(H37="FILL_TO_CAPACITY",AND(H37="EXACT_VOLUME",ISNUMBER(I37),OR(J37="ml",J37="oz",J37="tsp"))),"OK","TBD")</x:f>
        <x:v>TBD</x:v>
      </x:c>
    </x:row>
    <x:row r="38" ht="32.400001525878906" hidden="0" customHeight="1">
      <x:c r="A38" s="23" t="str">
        <x:v>brandy_sour_03</x:v>
      </x:c>
      <x:c r="B38" s="23" t="str">
        <x:v>brandy_sour</x:v>
      </x:c>
      <x:c r="C38" s="23" t="n">
        <x:v>3</x:v>
      </x:c>
      <x:c r="D38" s="23" t="str">
        <x:v>POWDER</x:v>
      </x:c>
      <x:c r="E38" s="23" t="str">
        <x:v>sugar</x:v>
      </x:c>
      <x:c r="F38" s="23" t="str">
        <x:v>REQUIRED</x:v>
      </x:c>
      <x:c r="G38" s="23" t="str">
        <x:v>AUTO_APPLY</x:v>
      </x:c>
      <x:c r="H38" s="23" t="str">
        <x:v>TBD</x:v>
      </x:c>
      <x:c r="I38" s="23" t="str"/>
      <x:c r="J38" s="23" t="str"/>
      <x:c r="K38" s="23" t="str">
        <x:f>IF(H38&lt;&gt;"EXACT_VOLUME","",IF(J38="ml",I38,IF(J38="oz",I38*SUMIF(SystemConfig!$A$2:$A$22,"unit_oz_to_ml",SystemConfig!$C$2:$C$22),IF(J38="tsp",I38*SUMIF(SystemConfig!$A$2:$A$22,"unit_tsp_to_ml",SystemConfig!$C$2:$C$22),""))))</x:f>
      </x:c>
      <x:c r="L38" s="28" t="b">
        <x:v>0</x:v>
      </x:c>
      <x:c r="M38" s="23" t="n">
        <x:v>0</x:v>
      </x:c>
      <x:c r="N38" s="28" t="b">
        <x:v>1</x:v>
      </x:c>
      <x:c r="O38" s="23" t="str">
        <x:v>NEEDS_RECIPE</x:v>
      </x:c>
      <x:c r="P38" s="23" t="str">
        <x:v>재료 구성·qty·unit 최종 확인 필요</x:v>
      </x:c>
      <x:c r="Q38" s="23" t="str">
        <x:f>IF(COUNTIF(Cocktails!$A$2:$A$30,B38)=1,"OK","BAD_FK")</x:f>
        <x:v>OK</x:v>
      </x:c>
      <x:c r="R38" s="23" t="str">
        <x:f>IF(COUNTIF(Ingredients!$A$2:$A$39,E38)=1,"OK","BAD_FK")</x:f>
        <x:v>OK</x:v>
      </x:c>
      <x:c r="S38" s="23" t="str">
        <x:f>IF(OR(H38="FILL_TO_CAPACITY",AND(H38="EXACT_VOLUME",ISNUMBER(I38),OR(J38="ml",J38="oz",J38="tsp"))),"OK","TBD")</x:f>
        <x:v>TBD</x:v>
      </x:c>
    </x:row>
    <x:row r="39" ht="21.600000381469727" hidden="0" customHeight="1">
      <x:c r="A39" s="23" t="str">
        <x:v>brandy_sour_04</x:v>
      </x:c>
      <x:c r="B39" s="23" t="str">
        <x:v>brandy_sour</x:v>
      </x:c>
      <x:c r="C39" s="23" t="n">
        <x:v>4</x:v>
      </x:c>
      <x:c r="D39" s="23" t="str">
        <x:v>FILL_UP</x:v>
      </x:c>
      <x:c r="E39" s="23" t="str">
        <x:v>sour_mix</x:v>
      </x:c>
      <x:c r="F39" s="23" t="str">
        <x:v>REQUIRED</x:v>
      </x:c>
      <x:c r="G39" s="23" t="str">
        <x:v>MANUAL_SELECT</x:v>
      </x:c>
      <x:c r="H39" s="23" t="str">
        <x:v>FILL_TO_CAPACITY</x:v>
      </x:c>
      <x:c r="I39" s="23" t="n">
        <x:v>1</x:v>
      </x:c>
      <x:c r="J39" s="23" t="str">
        <x:v>ratio</x:v>
      </x:c>
      <x:c r="K39" s="23" t="str">
        <x:f>IF(H39&lt;&gt;"EXACT_VOLUME","",IF(J39="ml",I39,IF(J39="oz",I39*SUMIF(SystemConfig!$A$2:$A$22,"unit_oz_to_ml",SystemConfig!$C$2:$C$22),IF(J39="tsp",I39*SUMIF(SystemConfig!$A$2:$A$22,"unit_tsp_to_ml",SystemConfig!$C$2:$C$22),""))))</x:f>
      </x:c>
      <x:c r="L39" s="28" t="b">
        <x:v>1</x:v>
      </x:c>
      <x:c r="M39" s="23" t="n">
        <x:v>1</x:v>
      </x:c>
      <x:c r="N39" s="28" t="b">
        <x:v>1</x:v>
      </x:c>
      <x:c r="O39" s="23" t="str">
        <x:v>CONFIRMED</x:v>
      </x:c>
      <x:c r="P39" s="23" t="str">
        <x:v>목표 qty 미확정</x:v>
      </x:c>
      <x:c r="Q39" s="23" t="str">
        <x:f>IF(COUNTIF(Cocktails!$A$2:$A$30,B39)=1,"OK","BAD_FK")</x:f>
        <x:v>OK</x:v>
      </x:c>
      <x:c r="R39" s="23" t="str">
        <x:f>IF(COUNTIF(Ingredients!$A$2:$A$39,E39)=1,"OK","BAD_FK")</x:f>
        <x:v>OK</x:v>
      </x:c>
      <x:c r="S39" s="23" t="str">
        <x:f>IF(OR(H39="FILL_TO_CAPACITY",AND(H39="EXACT_VOLUME",ISNUMBER(I39),OR(J39="ml",J39="oz",J39="tsp"))),"OK","TBD")</x:f>
        <x:v>OK</x:v>
      </x:c>
    </x:row>
    <x:row r="40" ht="21.600000381469727" hidden="0" customHeight="1">
      <x:c r="A40" s="23" t="str">
        <x:v>margarita_01</x:v>
      </x:c>
      <x:c r="B40" s="23" t="str">
        <x:v>margarita</x:v>
      </x:c>
      <x:c r="C40" s="23" t="n">
        <x:v>1</x:v>
      </x:c>
      <x:c r="D40" s="23" t="str">
        <x:v>POUR</x:v>
      </x:c>
      <x:c r="E40" s="23" t="str">
        <x:v>tequila</x:v>
      </x:c>
      <x:c r="F40" s="23" t="str">
        <x:v>CORE</x:v>
      </x:c>
      <x:c r="G40" s="23" t="str">
        <x:v>MANUAL_SELECT</x:v>
      </x:c>
      <x:c r="H40" s="23" t="str">
        <x:v>EXACT_VOLUME</x:v>
      </x:c>
      <x:c r="I40" s="23" t="n">
        <x:v>3.5</x:v>
      </x:c>
      <x:c r="J40" s="23" t="str">
        <x:v>oz</x:v>
      </x:c>
      <x:c r="K40" s="23" t="n">
        <x:f>IF(H40&lt;&gt;"EXACT_VOLUME","",IF(J40="ml",I40,IF(J40="oz",I40*SUMIF(SystemConfig!$A$2:$A$22,"unit_oz_to_ml",SystemConfig!$C$2:$C$22),IF(J40="tsp",I40*SUMIF(SystemConfig!$A$2:$A$22,"unit_tsp_to_ml",SystemConfig!$C$2:$C$22),""))))</x:f>
        <x:v>105</x:v>
      </x:c>
      <x:c r="L40" s="28" t="b">
        <x:v>1</x:v>
      </x:c>
      <x:c r="M40" s="23" t="n">
        <x:v>1</x:v>
      </x:c>
      <x:c r="N40" s="28" t="b">
        <x:v>1</x:v>
      </x:c>
      <x:c r="O40" s="23" t="str">
        <x:v>CONFIRMED</x:v>
      </x:c>
      <x:c r="P40" s="23" t="str"/>
      <x:c r="Q40" s="23" t="str">
        <x:f>IF(COUNTIF(Cocktails!$A$2:$A$30,B40)=1,"OK","BAD_FK")</x:f>
        <x:v>OK</x:v>
      </x:c>
      <x:c r="R40" s="23" t="str">
        <x:f>IF(COUNTIF(Ingredients!$A$2:$A$39,E40)=1,"OK","BAD_FK")</x:f>
        <x:v>OK</x:v>
      </x:c>
      <x:c r="S40" s="23" t="str">
        <x:f>IF(OR(H40="FILL_TO_CAPACITY",AND(H40="EXACT_VOLUME",ISNUMBER(I40),OR(J40="ml",J40="oz",J40="tsp"))),"OK","TBD")</x:f>
        <x:v>OK</x:v>
      </x:c>
    </x:row>
    <x:row r="41" ht="21.600000381469727" hidden="0" customHeight="1">
      <x:c r="A41" s="23" t="str">
        <x:v>margarita_02</x:v>
      </x:c>
      <x:c r="B41" s="23" t="str">
        <x:v>margarita</x:v>
      </x:c>
      <x:c r="C41" s="23" t="n">
        <x:v>2</x:v>
      </x:c>
      <x:c r="D41" s="23" t="str">
        <x:v>POUR</x:v>
      </x:c>
      <x:c r="E41" s="23" t="str">
        <x:v>triple_sec</x:v>
      </x:c>
      <x:c r="F41" s="23" t="str">
        <x:v>REQUIRED</x:v>
      </x:c>
      <x:c r="G41" s="23" t="str">
        <x:v>MANUAL_SELECT</x:v>
      </x:c>
      <x:c r="H41" s="23" t="str">
        <x:v>EXACT_VOLUME</x:v>
      </x:c>
      <x:c r="I41" s="23" t="n">
        <x:v>2</x:v>
      </x:c>
      <x:c r="J41" s="23" t="str">
        <x:v>oz</x:v>
      </x:c>
      <x:c r="K41" s="23" t="n">
        <x:f>IF(H41&lt;&gt;"EXACT_VOLUME","",IF(J41="ml",I41,IF(J41="oz",I41*SUMIF(SystemConfig!$A$2:$A$22,"unit_oz_to_ml",SystemConfig!$C$2:$C$22),IF(J41="tsp",I41*SUMIF(SystemConfig!$A$2:$A$22,"unit_tsp_to_ml",SystemConfig!$C$2:$C$22),""))))</x:f>
        <x:v>60</x:v>
      </x:c>
      <x:c r="L41" s="28" t="b">
        <x:v>1</x:v>
      </x:c>
      <x:c r="M41" s="23" t="n">
        <x:v>1</x:v>
      </x:c>
      <x:c r="N41" s="28" t="b">
        <x:v>1</x:v>
      </x:c>
      <x:c r="O41" s="23" t="str">
        <x:v>CONFIRMED</x:v>
      </x:c>
      <x:c r="P41" s="23" t="str"/>
      <x:c r="Q41" s="23" t="str">
        <x:f>IF(COUNTIF(Cocktails!$A$2:$A$30,B41)=1,"OK","BAD_FK")</x:f>
        <x:v>OK</x:v>
      </x:c>
      <x:c r="R41" s="23" t="str">
        <x:f>IF(COUNTIF(Ingredients!$A$2:$A$39,E41)=1,"OK","BAD_FK")</x:f>
        <x:v>OK</x:v>
      </x:c>
      <x:c r="S41" s="23" t="str">
        <x:f>IF(OR(H41="FILL_TO_CAPACITY",AND(H41="EXACT_VOLUME",ISNUMBER(I41),OR(J41="ml",J41="oz",J41="tsp"))),"OK","TBD")</x:f>
        <x:v>OK</x:v>
      </x:c>
    </x:row>
    <x:row r="42" ht="21.600000381469727" hidden="0" customHeight="1">
      <x:c r="A42" s="23" t="str">
        <x:v>margarita_03</x:v>
      </x:c>
      <x:c r="B42" s="23" t="str">
        <x:v>margarita</x:v>
      </x:c>
      <x:c r="C42" s="23" t="n">
        <x:v>3</x:v>
      </x:c>
      <x:c r="D42" s="23" t="str">
        <x:v>SQUEEZE</x:v>
      </x:c>
      <x:c r="E42" s="23" t="str">
        <x:v>lemon</x:v>
      </x:c>
      <x:c r="F42" s="23" t="str">
        <x:v>REQUIRED</x:v>
      </x:c>
      <x:c r="G42" s="23" t="str">
        <x:v>GUIDED_GIMMICK</x:v>
      </x:c>
      <x:c r="H42" s="23" t="str">
        <x:v>EXACT_VOLUME</x:v>
      </x:c>
      <x:c r="I42" s="23" t="n">
        <x:v>1.5</x:v>
      </x:c>
      <x:c r="J42" s="23" t="str">
        <x:v>oz</x:v>
      </x:c>
      <x:c r="K42" s="23" t="n">
        <x:f>IF(H42&lt;&gt;"EXACT_VOLUME","",IF(J42="ml",I42,IF(J42="oz",I42*SUMIF(SystemConfig!$A$2:$A$22,"unit_oz_to_ml",SystemConfig!$C$2:$C$22),IF(J42="tsp",I42*SUMIF(SystemConfig!$A$2:$A$22,"unit_tsp_to_ml",SystemConfig!$C$2:$C$22),""))))</x:f>
        <x:v>45</x:v>
      </x:c>
      <x:c r="L42" s="28" t="b">
        <x:v>1</x:v>
      </x:c>
      <x:c r="M42" s="23" t="n">
        <x:v>1</x:v>
      </x:c>
      <x:c r="N42" s="28" t="b">
        <x:v>0</x:v>
      </x:c>
      <x:c r="O42" s="23" t="str">
        <x:v>CONFIRMED</x:v>
      </x:c>
      <x:c r="P42" s="23" t="str"/>
      <x:c r="Q42" s="23" t="str">
        <x:f>IF(COUNTIF(Cocktails!$A$2:$A$30,B42)=1,"OK","BAD_FK")</x:f>
        <x:v>OK</x:v>
      </x:c>
      <x:c r="R42" s="23" t="str">
        <x:f>IF(COUNTIF(Ingredients!$A$2:$A$39,E42)=1,"OK","BAD_FK")</x:f>
        <x:v>OK</x:v>
      </x:c>
      <x:c r="S42" s="23" t="str">
        <x:f>IF(OR(H42="FILL_TO_CAPACITY",AND(H42="EXACT_VOLUME",ISNUMBER(I42),OR(J42="ml",J42="oz",J42="tsp"))),"OK","TBD")</x:f>
        <x:v>OK</x:v>
      </x:c>
    </x:row>
    <x:row r="43" ht="32.400001525878906" hidden="0" customHeight="1">
      <x:c r="A43" s="23" t="str">
        <x:v>old_pal_01</x:v>
      </x:c>
      <x:c r="B43" s="23" t="str">
        <x:v>old_pal</x:v>
      </x:c>
      <x:c r="C43" s="23" t="n">
        <x:v>1</x:v>
      </x:c>
      <x:c r="D43" s="23" t="str">
        <x:v>POUR</x:v>
      </x:c>
      <x:c r="E43" s="23" t="str">
        <x:v>whiskey</x:v>
      </x:c>
      <x:c r="F43" s="23" t="str">
        <x:v>CORE</x:v>
      </x:c>
      <x:c r="G43" s="23" t="str">
        <x:v>MANUAL_SELECT</x:v>
      </x:c>
      <x:c r="H43" s="23" t="str">
        <x:v>TBD</x:v>
      </x:c>
      <x:c r="I43" s="23" t="str"/>
      <x:c r="J43" s="23" t="str"/>
      <x:c r="K43" s="23" t="str">
        <x:f>IF(H43&lt;&gt;"EXACT_VOLUME","",IF(J43="ml",I43,IF(J43="oz",I43*SUMIF(SystemConfig!$A$2:$A$22,"unit_oz_to_ml",SystemConfig!$C$2:$C$22),IF(J43="tsp",I43*SUMIF(SystemConfig!$A$2:$A$22,"unit_tsp_to_ml",SystemConfig!$C$2:$C$22),""))))</x:f>
      </x:c>
      <x:c r="L43" s="28" t="b">
        <x:v>0</x:v>
      </x:c>
      <x:c r="M43" s="23" t="n">
        <x:v>0</x:v>
      </x:c>
      <x:c r="N43" s="28" t="b">
        <x:v>1</x:v>
      </x:c>
      <x:c r="O43" s="23" t="str">
        <x:v>NEEDS_RECIPE</x:v>
      </x:c>
      <x:c r="P43" s="23" t="str">
        <x:v>재료 구성·qty·unit 최종 확인 필요</x:v>
      </x:c>
      <x:c r="Q43" s="23" t="str">
        <x:f>IF(COUNTIF(Cocktails!$A$2:$A$30,B43)=1,"OK","BAD_FK")</x:f>
        <x:v>OK</x:v>
      </x:c>
      <x:c r="R43" s="23" t="str">
        <x:f>IF(COUNTIF(Ingredients!$A$2:$A$39,E43)=1,"OK","BAD_FK")</x:f>
        <x:v>OK</x:v>
      </x:c>
      <x:c r="S43" s="23" t="str">
        <x:f>IF(OR(H43="FILL_TO_CAPACITY",AND(H43="EXACT_VOLUME",ISNUMBER(I43),OR(J43="ml",J43="oz",J43="tsp"))),"OK","TBD")</x:f>
        <x:v>TBD</x:v>
      </x:c>
    </x:row>
    <x:row r="44" ht="32.400001525878906" hidden="0" customHeight="1">
      <x:c r="A44" s="23" t="str">
        <x:v>old_pal_02</x:v>
      </x:c>
      <x:c r="B44" s="23" t="str">
        <x:v>old_pal</x:v>
      </x:c>
      <x:c r="C44" s="23" t="n">
        <x:v>2</x:v>
      </x:c>
      <x:c r="D44" s="23" t="str">
        <x:v>POUR</x:v>
      </x:c>
      <x:c r="E44" s="23" t="str">
        <x:v>dry_vermouth</x:v>
      </x:c>
      <x:c r="F44" s="23" t="str">
        <x:v>REQUIRED</x:v>
      </x:c>
      <x:c r="G44" s="23" t="str">
        <x:v>MANUAL_SELECT</x:v>
      </x:c>
      <x:c r="H44" s="23" t="str">
        <x:v>TBD</x:v>
      </x:c>
      <x:c r="I44" s="23" t="str"/>
      <x:c r="J44" s="23" t="str"/>
      <x:c r="K44" s="23" t="str">
        <x:f>IF(H44&lt;&gt;"EXACT_VOLUME","",IF(J44="ml",I44,IF(J44="oz",I44*SUMIF(SystemConfig!$A$2:$A$22,"unit_oz_to_ml",SystemConfig!$C$2:$C$22),IF(J44="tsp",I44*SUMIF(SystemConfig!$A$2:$A$22,"unit_tsp_to_ml",SystemConfig!$C$2:$C$22),""))))</x:f>
      </x:c>
      <x:c r="L44" s="28" t="b">
        <x:v>0</x:v>
      </x:c>
      <x:c r="M44" s="23" t="n">
        <x:v>0</x:v>
      </x:c>
      <x:c r="N44" s="28" t="b">
        <x:v>1</x:v>
      </x:c>
      <x:c r="O44" s="23" t="str">
        <x:v>NEEDS_RECIPE</x:v>
      </x:c>
      <x:c r="P44" s="23" t="str">
        <x:v>재료 구성·qty·unit 최종 확인 필요</x:v>
      </x:c>
      <x:c r="Q44" s="23" t="str">
        <x:f>IF(COUNTIF(Cocktails!$A$2:$A$30,B44)=1,"OK","BAD_FK")</x:f>
        <x:v>OK</x:v>
      </x:c>
      <x:c r="R44" s="23" t="str">
        <x:f>IF(COUNTIF(Ingredients!$A$2:$A$39,E44)=1,"OK","BAD_FK")</x:f>
        <x:v>OK</x:v>
      </x:c>
      <x:c r="S44" s="23" t="str">
        <x:f>IF(OR(H44="FILL_TO_CAPACITY",AND(H44="EXACT_VOLUME",ISNUMBER(I44),OR(J44="ml",J44="oz",J44="tsp"))),"OK","TBD")</x:f>
        <x:v>TBD</x:v>
      </x:c>
    </x:row>
    <x:row r="45" ht="32.400001525878906" hidden="0" customHeight="1">
      <x:c r="A45" s="23" t="str">
        <x:v>old_pal_03</x:v>
      </x:c>
      <x:c r="B45" s="23" t="str">
        <x:v>old_pal</x:v>
      </x:c>
      <x:c r="C45" s="23" t="n">
        <x:v>3</x:v>
      </x:c>
      <x:c r="D45" s="23" t="str">
        <x:v>POUR</x:v>
      </x:c>
      <x:c r="E45" s="23" t="str">
        <x:v>campari</x:v>
      </x:c>
      <x:c r="F45" s="23" t="str">
        <x:v>REQUIRED</x:v>
      </x:c>
      <x:c r="G45" s="23" t="str">
        <x:v>MANUAL_SELECT</x:v>
      </x:c>
      <x:c r="H45" s="23" t="str">
        <x:v>TBD</x:v>
      </x:c>
      <x:c r="I45" s="23" t="str"/>
      <x:c r="J45" s="23" t="str"/>
      <x:c r="K45" s="23" t="str">
        <x:f>IF(H45&lt;&gt;"EXACT_VOLUME","",IF(J45="ml",I45,IF(J45="oz",I45*SUMIF(SystemConfig!$A$2:$A$22,"unit_oz_to_ml",SystemConfig!$C$2:$C$22),IF(J45="tsp",I45*SUMIF(SystemConfig!$A$2:$A$22,"unit_tsp_to_ml",SystemConfig!$C$2:$C$22),""))))</x:f>
      </x:c>
      <x:c r="L45" s="28" t="b">
        <x:v>0</x:v>
      </x:c>
      <x:c r="M45" s="23" t="n">
        <x:v>0</x:v>
      </x:c>
      <x:c r="N45" s="28" t="b">
        <x:v>1</x:v>
      </x:c>
      <x:c r="O45" s="23" t="str">
        <x:v>NEEDS_RECIPE</x:v>
      </x:c>
      <x:c r="P45" s="23" t="str">
        <x:v>재료 구성·qty·unit 최종 확인 필요</x:v>
      </x:c>
      <x:c r="Q45" s="23" t="str">
        <x:f>IF(COUNTIF(Cocktails!$A$2:$A$30,B45)=1,"OK","BAD_FK")</x:f>
        <x:v>OK</x:v>
      </x:c>
      <x:c r="R45" s="23" t="str">
        <x:f>IF(COUNTIF(Ingredients!$A$2:$A$39,E45)=1,"OK","BAD_FK")</x:f>
        <x:v>OK</x:v>
      </x:c>
      <x:c r="S45" s="23" t="str">
        <x:f>IF(OR(H45="FILL_TO_CAPACITY",AND(H45="EXACT_VOLUME",ISNUMBER(I45),OR(J45="ml",J45="oz",J45="tsp"))),"OK","TBD")</x:f>
        <x:v>TBD</x:v>
      </x:c>
    </x:row>
    <x:row r="46" ht="21.600000381469727" hidden="0" customHeight="1">
      <x:c r="A46" s="23" t="str">
        <x:v>bacardi_01</x:v>
      </x:c>
      <x:c r="B46" s="23" t="str">
        <x:v>bacardi</x:v>
      </x:c>
      <x:c r="C46" s="23" t="n">
        <x:v>1</x:v>
      </x:c>
      <x:c r="D46" s="23" t="str">
        <x:v>POUR</x:v>
      </x:c>
      <x:c r="E46" s="23" t="str">
        <x:v>rum</x:v>
      </x:c>
      <x:c r="F46" s="23" t="str">
        <x:v>CORE</x:v>
      </x:c>
      <x:c r="G46" s="23" t="str">
        <x:v>MANUAL_SELECT</x:v>
      </x:c>
      <x:c r="H46" s="23" t="str">
        <x:v>EXACT_VOLUME</x:v>
      </x:c>
      <x:c r="I46" s="23" t="n">
        <x:v>4.5</x:v>
      </x:c>
      <x:c r="J46" s="23" t="str">
        <x:v>oz</x:v>
      </x:c>
      <x:c r="K46" s="23" t="n">
        <x:f>IF(H46&lt;&gt;"EXACT_VOLUME","",IF(J46="ml",I46,IF(J46="oz",I46*SUMIF(SystemConfig!$A$2:$A$22,"unit_oz_to_ml",SystemConfig!$C$2:$C$22),IF(J46="tsp",I46*SUMIF(SystemConfig!$A$2:$A$22,"unit_tsp_to_ml",SystemConfig!$C$2:$C$22),""))))</x:f>
        <x:v>135</x:v>
      </x:c>
      <x:c r="L46" s="28" t="b">
        <x:v>1</x:v>
      </x:c>
      <x:c r="M46" s="23" t="n">
        <x:v>1</x:v>
      </x:c>
      <x:c r="N46" s="28" t="b">
        <x:v>1</x:v>
      </x:c>
      <x:c r="O46" s="23" t="str">
        <x:v>CONFIRMED</x:v>
      </x:c>
      <x:c r="P46" s="23" t="str"/>
      <x:c r="Q46" s="23" t="str">
        <x:f>IF(COUNTIF(Cocktails!$A$2:$A$30,B46)=1,"OK","BAD_FK")</x:f>
        <x:v>OK</x:v>
      </x:c>
      <x:c r="R46" s="23" t="str">
        <x:f>IF(COUNTIF(Ingredients!$A$2:$A$39,E46)=1,"OK","BAD_FK")</x:f>
        <x:v>OK</x:v>
      </x:c>
      <x:c r="S46" s="23" t="str">
        <x:f>IF(OR(H46="FILL_TO_CAPACITY",AND(H46="EXACT_VOLUME",ISNUMBER(I46),OR(J46="ml",J46="oz",J46="tsp"))),"OK","TBD")</x:f>
        <x:v>OK</x:v>
      </x:c>
    </x:row>
    <x:row r="47" ht="21.600000381469727" hidden="0" customHeight="1">
      <x:c r="A47" s="23" t="str">
        <x:v>bacardi_02</x:v>
      </x:c>
      <x:c r="B47" s="23" t="str">
        <x:v>bacardi</x:v>
      </x:c>
      <x:c r="C47" s="23" t="n">
        <x:v>2</x:v>
      </x:c>
      <x:c r="D47" s="23" t="str">
        <x:v>POUR</x:v>
      </x:c>
      <x:c r="E47" s="23" t="str">
        <x:v>grenadine</x:v>
      </x:c>
      <x:c r="F47" s="23" t="str">
        <x:v>REQUIRED</x:v>
      </x:c>
      <x:c r="G47" s="23" t="str">
        <x:v>MANUAL_SELECT</x:v>
      </x:c>
      <x:c r="H47" s="23" t="str">
        <x:v>EXACT_VOLUME</x:v>
      </x:c>
      <x:c r="I47" s="23" t="n">
        <x:v>0.75</x:v>
      </x:c>
      <x:c r="J47" s="23" t="str">
        <x:v>oz</x:v>
      </x:c>
      <x:c r="K47" s="23" t="n">
        <x:f>IF(H47&lt;&gt;"EXACT_VOLUME","",IF(J47="ml",I47,IF(J47="oz",I47*SUMIF(SystemConfig!$A$2:$A$22,"unit_oz_to_ml",SystemConfig!$C$2:$C$22),IF(J47="tsp",I47*SUMIF(SystemConfig!$A$2:$A$22,"unit_tsp_to_ml",SystemConfig!$C$2:$C$22),""))))</x:f>
        <x:v>22.5</x:v>
      </x:c>
      <x:c r="L47" s="28" t="b">
        <x:v>1</x:v>
      </x:c>
      <x:c r="M47" s="23" t="n">
        <x:v>1</x:v>
      </x:c>
      <x:c r="N47" s="28" t="b">
        <x:v>1</x:v>
      </x:c>
      <x:c r="O47" s="23" t="str">
        <x:v>CONFIRMED</x:v>
      </x:c>
      <x:c r="P47" s="23" t="str"/>
      <x:c r="Q47" s="23" t="str">
        <x:f>IF(COUNTIF(Cocktails!$A$2:$A$30,B47)=1,"OK","BAD_FK")</x:f>
        <x:v>OK</x:v>
      </x:c>
      <x:c r="R47" s="23" t="str">
        <x:f>IF(COUNTIF(Ingredients!$A$2:$A$39,E47)=1,"OK","BAD_FK")</x:f>
        <x:v>OK</x:v>
      </x:c>
      <x:c r="S47" s="23" t="str">
        <x:f>IF(OR(H47="FILL_TO_CAPACITY",AND(H47="EXACT_VOLUME",ISNUMBER(I47),OR(J47="ml",J47="oz",J47="tsp"))),"OK","TBD")</x:f>
        <x:v>OK</x:v>
      </x:c>
    </x:row>
    <x:row r="48" ht="21.600000381469727" hidden="0" customHeight="1">
      <x:c r="A48" s="23" t="str">
        <x:v>bacardi_03</x:v>
      </x:c>
      <x:c r="B48" s="23" t="str">
        <x:v>bacardi</x:v>
      </x:c>
      <x:c r="C48" s="23" t="n">
        <x:v>3</x:v>
      </x:c>
      <x:c r="D48" s="23" t="str">
        <x:v>SQUEEZE</x:v>
      </x:c>
      <x:c r="E48" s="23" t="str">
        <x:v>lime</x:v>
      </x:c>
      <x:c r="F48" s="23" t="str">
        <x:v>REQUIRED</x:v>
      </x:c>
      <x:c r="G48" s="23" t="str">
        <x:v>GUIDED_GIMMICK</x:v>
      </x:c>
      <x:c r="H48" s="23" t="str">
        <x:v>EXACT_VOLUME</x:v>
      </x:c>
      <x:c r="I48" s="23" t="n">
        <x:v>1.5</x:v>
      </x:c>
      <x:c r="J48" s="23" t="str">
        <x:v>oz</x:v>
      </x:c>
      <x:c r="K48" s="23" t="n">
        <x:f>IF(H48&lt;&gt;"EXACT_VOLUME","",IF(J48="ml",I48,IF(J48="oz",I48*SUMIF(SystemConfig!$A$2:$A$22,"unit_oz_to_ml",SystemConfig!$C$2:$C$22),IF(J48="tsp",I48*SUMIF(SystemConfig!$A$2:$A$22,"unit_tsp_to_ml",SystemConfig!$C$2:$C$22),""))))</x:f>
        <x:v>45</x:v>
      </x:c>
      <x:c r="L48" s="28" t="b">
        <x:v>1</x:v>
      </x:c>
      <x:c r="M48" s="23" t="n">
        <x:v>1</x:v>
      </x:c>
      <x:c r="N48" s="28" t="b">
        <x:v>0</x:v>
      </x:c>
      <x:c r="O48" s="23" t="str">
        <x:v>CONFIRMED</x:v>
      </x:c>
      <x:c r="P48" s="23" t="str"/>
      <x:c r="Q48" s="23" t="str">
        <x:f>IF(COUNTIF(Cocktails!$A$2:$A$30,B48)=1,"OK","BAD_FK")</x:f>
        <x:v>OK</x:v>
      </x:c>
      <x:c r="R48" s="23" t="str">
        <x:f>IF(COUNTIF(Ingredients!$A$2:$A$39,E48)=1,"OK","BAD_FK")</x:f>
        <x:v>OK</x:v>
      </x:c>
      <x:c r="S48" s="23" t="str">
        <x:f>IF(OR(H48="FILL_TO_CAPACITY",AND(H48="EXACT_VOLUME",ISNUMBER(I48),OR(J48="ml",J48="oz",J48="tsp"))),"OK","TBD")</x:f>
        <x:v>OK</x:v>
      </x:c>
    </x:row>
    <x:row r="49" ht="21.600000381469727" hidden="0" customHeight="1">
      <x:c r="A49" s="23" t="str">
        <x:v>white_lady_01</x:v>
      </x:c>
      <x:c r="B49" s="23" t="str">
        <x:v>white_lady</x:v>
      </x:c>
      <x:c r="C49" s="23" t="n">
        <x:v>1</x:v>
      </x:c>
      <x:c r="D49" s="23" t="str">
        <x:v>POUR</x:v>
      </x:c>
      <x:c r="E49" s="23" t="str">
        <x:v>gin</x:v>
      </x:c>
      <x:c r="F49" s="23" t="str">
        <x:v>CORE</x:v>
      </x:c>
      <x:c r="G49" s="23" t="str">
        <x:v>MANUAL_SELECT</x:v>
      </x:c>
      <x:c r="H49" s="23" t="str">
        <x:v>EXACT_VOLUME</x:v>
      </x:c>
      <x:c r="I49" s="23" t="n">
        <x:v>40</x:v>
      </x:c>
      <x:c r="J49" s="23" t="str">
        <x:v>ml</x:v>
      </x:c>
      <x:c r="K49" s="23" t="n">
        <x:f>IF(H49&lt;&gt;"EXACT_VOLUME","",IF(J49="ml",I49,IF(J49="oz",I49*SUMIF(SystemConfig!$A$2:$A$22,"unit_oz_to_ml",SystemConfig!$C$2:$C$22),IF(J49="tsp",I49*SUMIF(SystemConfig!$A$2:$A$22,"unit_tsp_to_ml",SystemConfig!$C$2:$C$22),""))))</x:f>
        <x:v>40</x:v>
      </x:c>
      <x:c r="L49" s="28" t="b">
        <x:v>1</x:v>
      </x:c>
      <x:c r="M49" s="23" t="n">
        <x:v>1</x:v>
      </x:c>
      <x:c r="N49" s="28" t="b">
        <x:v>1</x:v>
      </x:c>
      <x:c r="O49" s="23" t="str">
        <x:v>CONFIRMED</x:v>
      </x:c>
      <x:c r="P49" s="23" t="str"/>
      <x:c r="Q49" s="23" t="str">
        <x:f>IF(COUNTIF(Cocktails!$A$2:$A$30,B49)=1,"OK","BAD_FK")</x:f>
        <x:v>OK</x:v>
      </x:c>
      <x:c r="R49" s="23" t="str">
        <x:f>IF(COUNTIF(Ingredients!$A$2:$A$39,E49)=1,"OK","BAD_FK")</x:f>
        <x:v>OK</x:v>
      </x:c>
      <x:c r="S49" s="23" t="str">
        <x:f>IF(OR(H49="FILL_TO_CAPACITY",AND(H49="EXACT_VOLUME",ISNUMBER(I49),OR(J49="ml",J49="oz",J49="tsp"))),"OK","TBD")</x:f>
        <x:v>OK</x:v>
      </x:c>
    </x:row>
    <x:row r="50" ht="21.600000381469727" hidden="0" customHeight="1">
      <x:c r="A50" s="23" t="str">
        <x:v>white_lady_02</x:v>
      </x:c>
      <x:c r="B50" s="23" t="str">
        <x:v>white_lady</x:v>
      </x:c>
      <x:c r="C50" s="23" t="n">
        <x:v>2</x:v>
      </x:c>
      <x:c r="D50" s="23" t="str">
        <x:v>POUR</x:v>
      </x:c>
      <x:c r="E50" s="23" t="str">
        <x:v>triple_sec</x:v>
      </x:c>
      <x:c r="F50" s="23" t="str">
        <x:v>REQUIRED</x:v>
      </x:c>
      <x:c r="G50" s="23" t="str">
        <x:v>MANUAL_SELECT</x:v>
      </x:c>
      <x:c r="H50" s="23" t="str">
        <x:v>EXACT_VOLUME</x:v>
      </x:c>
      <x:c r="I50" s="23" t="n">
        <x:v>30</x:v>
      </x:c>
      <x:c r="J50" s="23" t="str">
        <x:v>ml</x:v>
      </x:c>
      <x:c r="K50" s="23" t="n">
        <x:f>IF(H50&lt;&gt;"EXACT_VOLUME","",IF(J50="ml",I50,IF(J50="oz",I50*SUMIF(SystemConfig!$A$2:$A$22,"unit_oz_to_ml",SystemConfig!$C$2:$C$22),IF(J50="tsp",I50*SUMIF(SystemConfig!$A$2:$A$22,"unit_tsp_to_ml",SystemConfig!$C$2:$C$22),""))))</x:f>
        <x:v>30</x:v>
      </x:c>
      <x:c r="L50" s="28" t="b">
        <x:v>1</x:v>
      </x:c>
      <x:c r="M50" s="23" t="n">
        <x:v>1</x:v>
      </x:c>
      <x:c r="N50" s="28" t="b">
        <x:v>1</x:v>
      </x:c>
      <x:c r="O50" s="23" t="str">
        <x:v>CONFIRMED</x:v>
      </x:c>
      <x:c r="P50" s="23" t="str"/>
      <x:c r="Q50" s="23" t="str">
        <x:f>IF(COUNTIF(Cocktails!$A$2:$A$30,B50)=1,"OK","BAD_FK")</x:f>
        <x:v>OK</x:v>
      </x:c>
      <x:c r="R50" s="23" t="str">
        <x:f>IF(COUNTIF(Ingredients!$A$2:$A$39,E50)=1,"OK","BAD_FK")</x:f>
        <x:v>OK</x:v>
      </x:c>
      <x:c r="S50" s="23" t="str">
        <x:f>IF(OR(H50="FILL_TO_CAPACITY",AND(H50="EXACT_VOLUME",ISNUMBER(I50),OR(J50="ml",J50="oz",J50="tsp"))),"OK","TBD")</x:f>
        <x:v>OK</x:v>
      </x:c>
    </x:row>
    <x:row r="51" ht="21.600000381469727" hidden="0" customHeight="1">
      <x:c r="A51" s="23" t="str">
        <x:v>white_lady_03</x:v>
      </x:c>
      <x:c r="B51" s="23" t="str">
        <x:v>white_lady</x:v>
      </x:c>
      <x:c r="C51" s="23" t="n">
        <x:v>3</x:v>
      </x:c>
      <x:c r="D51" s="23" t="str">
        <x:v>SQUEEZE</x:v>
      </x:c>
      <x:c r="E51" s="23" t="str">
        <x:v>lemon</x:v>
      </x:c>
      <x:c r="F51" s="23" t="str">
        <x:v>REQUIRED</x:v>
      </x:c>
      <x:c r="G51" s="23" t="str">
        <x:v>GUIDED_GIMMICK</x:v>
      </x:c>
      <x:c r="H51" s="23" t="str">
        <x:v>EXACT_VOLUME</x:v>
      </x:c>
      <x:c r="I51" s="23" t="n">
        <x:v>20</x:v>
      </x:c>
      <x:c r="J51" s="23" t="str">
        <x:v>ml</x:v>
      </x:c>
      <x:c r="K51" s="23" t="n">
        <x:f>IF(H51&lt;&gt;"EXACT_VOLUME","",IF(J51="ml",I51,IF(J51="oz",I51*SUMIF(SystemConfig!$A$2:$A$22,"unit_oz_to_ml",SystemConfig!$C$2:$C$22),IF(J51="tsp",I51*SUMIF(SystemConfig!$A$2:$A$22,"unit_tsp_to_ml",SystemConfig!$C$2:$C$22),""))))</x:f>
        <x:v>20</x:v>
      </x:c>
      <x:c r="L51" s="28" t="b">
        <x:v>1</x:v>
      </x:c>
      <x:c r="M51" s="23" t="n">
        <x:v>1</x:v>
      </x:c>
      <x:c r="N51" s="28" t="b">
        <x:v>0</x:v>
      </x:c>
      <x:c r="O51" s="23" t="str">
        <x:v>CONFIRMED</x:v>
      </x:c>
      <x:c r="P51" s="23" t="str"/>
      <x:c r="Q51" s="23" t="str">
        <x:f>IF(COUNTIF(Cocktails!$A$2:$A$30,B51)=1,"OK","BAD_FK")</x:f>
        <x:v>OK</x:v>
      </x:c>
      <x:c r="R51" s="23" t="str">
        <x:f>IF(COUNTIF(Ingredients!$A$2:$A$39,E51)=1,"OK","BAD_FK")</x:f>
        <x:v>OK</x:v>
      </x:c>
      <x:c r="S51" s="23" t="str">
        <x:f>IF(OR(H51="FILL_TO_CAPACITY",AND(H51="EXACT_VOLUME",ISNUMBER(I51),OR(J51="ml",J51="oz",J51="tsp"))),"OK","TBD")</x:f>
        <x:v>OK</x:v>
      </x:c>
    </x:row>
    <x:row r="52" ht="32.400001525878906" hidden="0" customHeight="1">
      <x:c r="A52" s="23" t="str">
        <x:v>espresso_martini_01</x:v>
      </x:c>
      <x:c r="B52" s="23" t="str">
        <x:v>espresso_martini</x:v>
      </x:c>
      <x:c r="C52" s="23" t="n">
        <x:v>1</x:v>
      </x:c>
      <x:c r="D52" s="23" t="str">
        <x:v>POUR</x:v>
      </x:c>
      <x:c r="E52" s="23" t="str">
        <x:v>vodka</x:v>
      </x:c>
      <x:c r="F52" s="23" t="str">
        <x:v>CORE</x:v>
      </x:c>
      <x:c r="G52" s="23" t="str">
        <x:v>MANUAL_SELECT</x:v>
      </x:c>
      <x:c r="H52" s="23" t="str">
        <x:v>TBD</x:v>
      </x:c>
      <x:c r="I52" s="23" t="str"/>
      <x:c r="J52" s="23" t="str"/>
      <x:c r="K52" s="23" t="str">
        <x:f>IF(H52&lt;&gt;"EXACT_VOLUME","",IF(J52="ml",I52,IF(J52="oz",I52*SUMIF(SystemConfig!$A$2:$A$22,"unit_oz_to_ml",SystemConfig!$C$2:$C$22),IF(J52="tsp",I52*SUMIF(SystemConfig!$A$2:$A$22,"unit_tsp_to_ml",SystemConfig!$C$2:$C$22),""))))</x:f>
      </x:c>
      <x:c r="L52" s="28" t="b">
        <x:v>0</x:v>
      </x:c>
      <x:c r="M52" s="23" t="n">
        <x:v>0</x:v>
      </x:c>
      <x:c r="N52" s="28" t="b">
        <x:v>1</x:v>
      </x:c>
      <x:c r="O52" s="23" t="str">
        <x:v>NEEDS_RECIPE</x:v>
      </x:c>
      <x:c r="P52" s="23" t="str">
        <x:v>재료 구성·qty·unit 최종 확인 필요</x:v>
      </x:c>
      <x:c r="Q52" s="23" t="str">
        <x:f>IF(COUNTIF(Cocktails!$A$2:$A$30,B52)=1,"OK","BAD_FK")</x:f>
        <x:v>OK</x:v>
      </x:c>
      <x:c r="R52" s="23" t="str">
        <x:f>IF(COUNTIF(Ingredients!$A$2:$A$39,E52)=1,"OK","BAD_FK")</x:f>
        <x:v>OK</x:v>
      </x:c>
      <x:c r="S52" s="23" t="str">
        <x:f>IF(OR(H52="FILL_TO_CAPACITY",AND(H52="EXACT_VOLUME",ISNUMBER(I52),OR(J52="ml",J52="oz",J52="tsp"))),"OK","TBD")</x:f>
        <x:v>TBD</x:v>
      </x:c>
    </x:row>
    <x:row r="53" ht="32.400001525878906" hidden="0" customHeight="1">
      <x:c r="A53" s="23" t="str">
        <x:v>espresso_martini_02</x:v>
      </x:c>
      <x:c r="B53" s="23" t="str">
        <x:v>espresso_martini</x:v>
      </x:c>
      <x:c r="C53" s="23" t="n">
        <x:v>2</x:v>
      </x:c>
      <x:c r="D53" s="23" t="str">
        <x:v>POUR</x:v>
      </x:c>
      <x:c r="E53" s="23" t="str">
        <x:v>kahlua</x:v>
      </x:c>
      <x:c r="F53" s="23" t="str">
        <x:v>REQUIRED</x:v>
      </x:c>
      <x:c r="G53" s="23" t="str">
        <x:v>MANUAL_SELECT</x:v>
      </x:c>
      <x:c r="H53" s="23" t="str">
        <x:v>TBD</x:v>
      </x:c>
      <x:c r="I53" s="23" t="str"/>
      <x:c r="J53" s="23" t="str"/>
      <x:c r="K53" s="23" t="str">
        <x:f>IF(H53&lt;&gt;"EXACT_VOLUME","",IF(J53="ml",I53,IF(J53="oz",I53*SUMIF(SystemConfig!$A$2:$A$22,"unit_oz_to_ml",SystemConfig!$C$2:$C$22),IF(J53="tsp",I53*SUMIF(SystemConfig!$A$2:$A$22,"unit_tsp_to_ml",SystemConfig!$C$2:$C$22),""))))</x:f>
      </x:c>
      <x:c r="L53" s="28" t="b">
        <x:v>0</x:v>
      </x:c>
      <x:c r="M53" s="23" t="n">
        <x:v>0</x:v>
      </x:c>
      <x:c r="N53" s="28" t="b">
        <x:v>1</x:v>
      </x:c>
      <x:c r="O53" s="23" t="str">
        <x:v>NEEDS_RECIPE</x:v>
      </x:c>
      <x:c r="P53" s="23" t="str">
        <x:v>재료 구성·qty·unit 최종 확인 필요</x:v>
      </x:c>
      <x:c r="Q53" s="23" t="str">
        <x:f>IF(COUNTIF(Cocktails!$A$2:$A$30,B53)=1,"OK","BAD_FK")</x:f>
        <x:v>OK</x:v>
      </x:c>
      <x:c r="R53" s="23" t="str">
        <x:f>IF(COUNTIF(Ingredients!$A$2:$A$39,E53)=1,"OK","BAD_FK")</x:f>
        <x:v>OK</x:v>
      </x:c>
      <x:c r="S53" s="23" t="str">
        <x:f>IF(OR(H53="FILL_TO_CAPACITY",AND(H53="EXACT_VOLUME",ISNUMBER(I53),OR(J53="ml",J53="oz",J53="tsp"))),"OK","TBD")</x:f>
        <x:v>TBD</x:v>
      </x:c>
    </x:row>
    <x:row r="54" ht="32.400001525878906" hidden="0" customHeight="1">
      <x:c r="A54" s="23" t="str">
        <x:v>espresso_martini_03</x:v>
      </x:c>
      <x:c r="B54" s="23" t="str">
        <x:v>espresso_martini</x:v>
      </x:c>
      <x:c r="C54" s="23" t="n">
        <x:v>3</x:v>
      </x:c>
      <x:c r="D54" s="23" t="str">
        <x:v>POUR</x:v>
      </x:c>
      <x:c r="E54" s="23" t="str">
        <x:v>coffee</x:v>
      </x:c>
      <x:c r="F54" s="23" t="str">
        <x:v>CORE</x:v>
      </x:c>
      <x:c r="G54" s="23" t="str">
        <x:v>MANUAL_SELECT</x:v>
      </x:c>
      <x:c r="H54" s="23" t="str">
        <x:v>TBD</x:v>
      </x:c>
      <x:c r="I54" s="23" t="str"/>
      <x:c r="J54" s="23" t="str"/>
      <x:c r="K54" s="23" t="str">
        <x:f>IF(H54&lt;&gt;"EXACT_VOLUME","",IF(J54="ml",I54,IF(J54="oz",I54*SUMIF(SystemConfig!$A$2:$A$22,"unit_oz_to_ml",SystemConfig!$C$2:$C$22),IF(J54="tsp",I54*SUMIF(SystemConfig!$A$2:$A$22,"unit_tsp_to_ml",SystemConfig!$C$2:$C$22),""))))</x:f>
      </x:c>
      <x:c r="L54" s="28" t="b">
        <x:v>0</x:v>
      </x:c>
      <x:c r="M54" s="23" t="n">
        <x:v>0</x:v>
      </x:c>
      <x:c r="N54" s="28" t="b">
        <x:v>1</x:v>
      </x:c>
      <x:c r="O54" s="23" t="str">
        <x:v>NEEDS_RECIPE</x:v>
      </x:c>
      <x:c r="P54" s="23" t="str">
        <x:v>재료 구성·qty·unit 최종 확인 필요</x:v>
      </x:c>
      <x:c r="Q54" s="23" t="str">
        <x:f>IF(COUNTIF(Cocktails!$A$2:$A$30,B54)=1,"OK","BAD_FK")</x:f>
        <x:v>OK</x:v>
      </x:c>
      <x:c r="R54" s="23" t="str">
        <x:f>IF(COUNTIF(Ingredients!$A$2:$A$39,E54)=1,"OK","BAD_FK")</x:f>
        <x:v>OK</x:v>
      </x:c>
      <x:c r="S54" s="23" t="str">
        <x:f>IF(OR(H54="FILL_TO_CAPACITY",AND(H54="EXACT_VOLUME",ISNUMBER(I54),OR(J54="ml",J54="oz",J54="tsp"))),"OK","TBD")</x:f>
        <x:v>TBD</x:v>
      </x:c>
    </x:row>
    <x:row r="55" ht="32.400001525878906" hidden="0" customHeight="1">
      <x:c r="A55" s="23" t="str">
        <x:v>june_bug_01</x:v>
      </x:c>
      <x:c r="B55" s="23" t="str">
        <x:v>june_bug</x:v>
      </x:c>
      <x:c r="C55" s="23" t="n">
        <x:v>1</x:v>
      </x:c>
      <x:c r="D55" s="23" t="str">
        <x:v>POUR</x:v>
      </x:c>
      <x:c r="E55" s="23" t="str">
        <x:v>melon_liqueur</x:v>
      </x:c>
      <x:c r="F55" s="23" t="str">
        <x:v>CORE</x:v>
      </x:c>
      <x:c r="G55" s="23" t="str">
        <x:v>MANUAL_SELECT</x:v>
      </x:c>
      <x:c r="H55" s="23" t="str">
        <x:v>TBD</x:v>
      </x:c>
      <x:c r="I55" s="23" t="str"/>
      <x:c r="J55" s="23" t="str"/>
      <x:c r="K55" s="23" t="str">
        <x:f>IF(H55&lt;&gt;"EXACT_VOLUME","",IF(J55="ml",I55,IF(J55="oz",I55*SUMIF(SystemConfig!$A$2:$A$22,"unit_oz_to_ml",SystemConfig!$C$2:$C$22),IF(J55="tsp",I55*SUMIF(SystemConfig!$A$2:$A$22,"unit_tsp_to_ml",SystemConfig!$C$2:$C$22),""))))</x:f>
      </x:c>
      <x:c r="L55" s="28" t="b">
        <x:v>0</x:v>
      </x:c>
      <x:c r="M55" s="23" t="n">
        <x:v>0</x:v>
      </x:c>
      <x:c r="N55" s="28" t="b">
        <x:v>1</x:v>
      </x:c>
      <x:c r="O55" s="23" t="str">
        <x:v>NEEDS_RECIPE</x:v>
      </x:c>
      <x:c r="P55" s="23" t="str">
        <x:v>재료 구성·qty·unit 최종 확인 필요</x:v>
      </x:c>
      <x:c r="Q55" s="23" t="str">
        <x:f>IF(COUNTIF(Cocktails!$A$2:$A$30,B55)=1,"OK","BAD_FK")</x:f>
        <x:v>OK</x:v>
      </x:c>
      <x:c r="R55" s="23" t="str">
        <x:f>IF(COUNTIF(Ingredients!$A$2:$A$39,E55)=1,"OK","BAD_FK")</x:f>
        <x:v>OK</x:v>
      </x:c>
      <x:c r="S55" s="23" t="str">
        <x:f>IF(OR(H55="FILL_TO_CAPACITY",AND(H55="EXACT_VOLUME",ISNUMBER(I55),OR(J55="ml",J55="oz",J55="tsp"))),"OK","TBD")</x:f>
        <x:v>TBD</x:v>
      </x:c>
    </x:row>
    <x:row r="56" ht="32.400001525878906" hidden="0" customHeight="1">
      <x:c r="A56" s="23" t="str">
        <x:v>june_bug_02</x:v>
      </x:c>
      <x:c r="B56" s="23" t="str">
        <x:v>june_bug</x:v>
      </x:c>
      <x:c r="C56" s="23" t="n">
        <x:v>2</x:v>
      </x:c>
      <x:c r="D56" s="23" t="str">
        <x:v>POUR</x:v>
      </x:c>
      <x:c r="E56" s="23" t="str">
        <x:v>malibu</x:v>
      </x:c>
      <x:c r="F56" s="23" t="str">
        <x:v>REQUIRED</x:v>
      </x:c>
      <x:c r="G56" s="23" t="str">
        <x:v>MANUAL_SELECT</x:v>
      </x:c>
      <x:c r="H56" s="23" t="str">
        <x:v>TBD</x:v>
      </x:c>
      <x:c r="I56" s="23" t="str"/>
      <x:c r="J56" s="23" t="str"/>
      <x:c r="K56" s="23" t="str">
        <x:f>IF(H56&lt;&gt;"EXACT_VOLUME","",IF(J56="ml",I56,IF(J56="oz",I56*SUMIF(SystemConfig!$A$2:$A$22,"unit_oz_to_ml",SystemConfig!$C$2:$C$22),IF(J56="tsp",I56*SUMIF(SystemConfig!$A$2:$A$22,"unit_tsp_to_ml",SystemConfig!$C$2:$C$22),""))))</x:f>
      </x:c>
      <x:c r="L56" s="28" t="b">
        <x:v>0</x:v>
      </x:c>
      <x:c r="M56" s="23" t="n">
        <x:v>0</x:v>
      </x:c>
      <x:c r="N56" s="28" t="b">
        <x:v>1</x:v>
      </x:c>
      <x:c r="O56" s="23" t="str">
        <x:v>NEEDS_RECIPE</x:v>
      </x:c>
      <x:c r="P56" s="23" t="str">
        <x:v>재료 구성·qty·unit 최종 확인 필요</x:v>
      </x:c>
      <x:c r="Q56" s="23" t="str">
        <x:f>IF(COUNTIF(Cocktails!$A$2:$A$30,B56)=1,"OK","BAD_FK")</x:f>
        <x:v>OK</x:v>
      </x:c>
      <x:c r="R56" s="23" t="str">
        <x:f>IF(COUNTIF(Ingredients!$A$2:$A$39,E56)=1,"OK","BAD_FK")</x:f>
        <x:v>OK</x:v>
      </x:c>
      <x:c r="S56" s="23" t="str">
        <x:f>IF(OR(H56="FILL_TO_CAPACITY",AND(H56="EXACT_VOLUME",ISNUMBER(I56),OR(J56="ml",J56="oz",J56="tsp"))),"OK","TBD")</x:f>
        <x:v>TBD</x:v>
      </x:c>
    </x:row>
    <x:row r="57" ht="32.400001525878906" hidden="0" customHeight="1">
      <x:c r="A57" s="23" t="str">
        <x:v>june_bug_03</x:v>
      </x:c>
      <x:c r="B57" s="23" t="str">
        <x:v>june_bug</x:v>
      </x:c>
      <x:c r="C57" s="23" t="n">
        <x:v>3</x:v>
      </x:c>
      <x:c r="D57" s="23" t="str">
        <x:v>POUR</x:v>
      </x:c>
      <x:c r="E57" s="23" t="str">
        <x:v>banana_liqueur</x:v>
      </x:c>
      <x:c r="F57" s="23" t="str">
        <x:v>REQUIRED</x:v>
      </x:c>
      <x:c r="G57" s="23" t="str">
        <x:v>MANUAL_SELECT</x:v>
      </x:c>
      <x:c r="H57" s="23" t="str">
        <x:v>TBD</x:v>
      </x:c>
      <x:c r="I57" s="23" t="str"/>
      <x:c r="J57" s="23" t="str"/>
      <x:c r="K57" s="23" t="str">
        <x:f>IF(H57&lt;&gt;"EXACT_VOLUME","",IF(J57="ml",I57,IF(J57="oz",I57*SUMIF(SystemConfig!$A$2:$A$22,"unit_oz_to_ml",SystemConfig!$C$2:$C$22),IF(J57="tsp",I57*SUMIF(SystemConfig!$A$2:$A$22,"unit_tsp_to_ml",SystemConfig!$C$2:$C$22),""))))</x:f>
      </x:c>
      <x:c r="L57" s="28" t="b">
        <x:v>0</x:v>
      </x:c>
      <x:c r="M57" s="23" t="n">
        <x:v>0</x:v>
      </x:c>
      <x:c r="N57" s="28" t="b">
        <x:v>1</x:v>
      </x:c>
      <x:c r="O57" s="23" t="str">
        <x:v>NEEDS_RECIPE</x:v>
      </x:c>
      <x:c r="P57" s="23" t="str">
        <x:v>재료 구성·qty·unit 최종 확인 필요</x:v>
      </x:c>
      <x:c r="Q57" s="23" t="str">
        <x:f>IF(COUNTIF(Cocktails!$A$2:$A$30,B57)=1,"OK","BAD_FK")</x:f>
        <x:v>OK</x:v>
      </x:c>
      <x:c r="R57" s="23" t="str">
        <x:f>IF(COUNTIF(Ingredients!$A$2:$A$39,E57)=1,"OK","BAD_FK")</x:f>
        <x:v>OK</x:v>
      </x:c>
      <x:c r="S57" s="23" t="str">
        <x:f>IF(OR(H57="FILL_TO_CAPACITY",AND(H57="EXACT_VOLUME",ISNUMBER(I57),OR(J57="ml",J57="oz",J57="tsp"))),"OK","TBD")</x:f>
        <x:v>TBD</x:v>
      </x:c>
    </x:row>
    <x:row r="58" ht="21.600000381469727" hidden="0" customHeight="1">
      <x:c r="A58" s="23" t="str">
        <x:v>june_bug_04</x:v>
      </x:c>
      <x:c r="B58" s="23" t="str">
        <x:v>june_bug</x:v>
      </x:c>
      <x:c r="C58" s="23" t="n">
        <x:v>4</x:v>
      </x:c>
      <x:c r="D58" s="23" t="str">
        <x:v>FILL_UP</x:v>
      </x:c>
      <x:c r="E58" s="23" t="str">
        <x:v>sour_mix</x:v>
      </x:c>
      <x:c r="F58" s="23" t="str">
        <x:v>REQUIRED</x:v>
      </x:c>
      <x:c r="G58" s="23" t="str">
        <x:v>MANUAL_SELECT</x:v>
      </x:c>
      <x:c r="H58" s="23" t="str">
        <x:v>FILL_TO_CAPACITY</x:v>
      </x:c>
      <x:c r="I58" s="23" t="n">
        <x:v>1</x:v>
      </x:c>
      <x:c r="J58" s="23" t="str">
        <x:v>ratio</x:v>
      </x:c>
      <x:c r="K58" s="23" t="str">
        <x:f>IF(H58&lt;&gt;"EXACT_VOLUME","",IF(J58="ml",I58,IF(J58="oz",I58*SUMIF(SystemConfig!$A$2:$A$22,"unit_oz_to_ml",SystemConfig!$C$2:$C$22),IF(J58="tsp",I58*SUMIF(SystemConfig!$A$2:$A$22,"unit_tsp_to_ml",SystemConfig!$C$2:$C$22),""))))</x:f>
      </x:c>
      <x:c r="L58" s="28" t="b">
        <x:v>1</x:v>
      </x:c>
      <x:c r="M58" s="23" t="n">
        <x:v>1</x:v>
      </x:c>
      <x:c r="N58" s="28" t="b">
        <x:v>1</x:v>
      </x:c>
      <x:c r="O58" s="23" t="str">
        <x:v>CONFIRMED</x:v>
      </x:c>
      <x:c r="P58" s="23" t="str">
        <x:v>목표 qty 미확정</x:v>
      </x:c>
      <x:c r="Q58" s="23" t="str">
        <x:f>IF(COUNTIF(Cocktails!$A$2:$A$30,B58)=1,"OK","BAD_FK")</x:f>
        <x:v>OK</x:v>
      </x:c>
      <x:c r="R58" s="23" t="str">
        <x:f>IF(COUNTIF(Ingredients!$A$2:$A$39,E58)=1,"OK","BAD_FK")</x:f>
        <x:v>OK</x:v>
      </x:c>
      <x:c r="S58" s="23" t="str">
        <x:f>IF(OR(H58="FILL_TO_CAPACITY",AND(H58="EXACT_VOLUME",ISNUMBER(I58),OR(J58="ml",J58="oz",J58="tsp"))),"OK","TBD")</x:f>
        <x:v>OK</x:v>
      </x:c>
    </x:row>
    <x:row r="59" ht="32.400001525878906" hidden="0" customHeight="1">
      <x:c r="A59" s="23" t="str">
        <x:v>june_bug_05</x:v>
      </x:c>
      <x:c r="B59" s="23" t="str">
        <x:v>june_bug</x:v>
      </x:c>
      <x:c r="C59" s="23" t="n">
        <x:v>5</x:v>
      </x:c>
      <x:c r="D59" s="23" t="str">
        <x:v>FILL_UP</x:v>
      </x:c>
      <x:c r="E59" s="23" t="str">
        <x:v>pineapple_juice</x:v>
      </x:c>
      <x:c r="F59" s="23" t="str">
        <x:v>REQUIRED</x:v>
      </x:c>
      <x:c r="G59" s="23" t="str">
        <x:v>MANUAL_SELECT</x:v>
      </x:c>
      <x:c r="H59" s="23" t="str">
        <x:v>FILL_TO_CAPACITY</x:v>
      </x:c>
      <x:c r="I59" s="23" t="n">
        <x:v>1</x:v>
      </x:c>
      <x:c r="J59" s="23" t="str">
        <x:v>ratio</x:v>
      </x:c>
      <x:c r="K59" s="23" t="str">
        <x:f>IF(H59&lt;&gt;"EXACT_VOLUME","",IF(J59="ml",I59,IF(J59="oz",I59*SUMIF(SystemConfig!$A$2:$A$22,"unit_oz_to_ml",SystemConfig!$C$2:$C$22),IF(J59="tsp",I59*SUMIF(SystemConfig!$A$2:$A$22,"unit_tsp_to_ml",SystemConfig!$C$2:$C$22),""))))</x:f>
      </x:c>
      <x:c r="L59" s="28" t="b">
        <x:v>1</x:v>
      </x:c>
      <x:c r="M59" s="23" t="n">
        <x:v>1</x:v>
      </x:c>
      <x:c r="N59" s="28" t="b">
        <x:v>1</x:v>
      </x:c>
      <x:c r="O59" s="23" t="str">
        <x:v>CONFIRMED</x:v>
      </x:c>
      <x:c r="P59" s="23" t="str">
        <x:v>재료 구성·qty·unit 최종 확인 필요</x:v>
      </x:c>
      <x:c r="Q59" s="23" t="str">
        <x:f>IF(COUNTIF(Cocktails!$A$2:$A$30,B59)=1,"OK","BAD_FK")</x:f>
        <x:v>OK</x:v>
      </x:c>
      <x:c r="R59" s="23" t="str">
        <x:f>IF(COUNTIF(Ingredients!$A$2:$A$39,E59)=1,"OK","BAD_FK")</x:f>
        <x:v>OK</x:v>
      </x:c>
      <x:c r="S59" s="23" t="str">
        <x:f>IF(OR(H59="FILL_TO_CAPACITY",AND(H59="EXACT_VOLUME",ISNUMBER(I59),OR(J59="ml",J59="oz",J59="tsp"))),"OK","TBD")</x:f>
        <x:v>OK</x:v>
      </x:c>
    </x:row>
    <x:row r="60" ht="32.400001525878906" hidden="0" customHeight="1">
      <x:c r="A60" s="23" t="str">
        <x:v>pink_lady_01</x:v>
      </x:c>
      <x:c r="B60" s="23" t="str">
        <x:v>pink_lady</x:v>
      </x:c>
      <x:c r="C60" s="23" t="n">
        <x:v>1</x:v>
      </x:c>
      <x:c r="D60" s="23" t="str">
        <x:v>POUR</x:v>
      </x:c>
      <x:c r="E60" s="23" t="str">
        <x:v>gin</x:v>
      </x:c>
      <x:c r="F60" s="23" t="str">
        <x:v>CORE</x:v>
      </x:c>
      <x:c r="G60" s="23" t="str">
        <x:v>MANUAL_SELECT</x:v>
      </x:c>
      <x:c r="H60" s="23" t="str">
        <x:v>TBD</x:v>
      </x:c>
      <x:c r="I60" s="23" t="str"/>
      <x:c r="J60" s="23" t="str"/>
      <x:c r="K60" s="23" t="str">
        <x:f>IF(H60&lt;&gt;"EXACT_VOLUME","",IF(J60="ml",I60,IF(J60="oz",I60*SUMIF(SystemConfig!$A$2:$A$22,"unit_oz_to_ml",SystemConfig!$C$2:$C$22),IF(J60="tsp",I60*SUMIF(SystemConfig!$A$2:$A$22,"unit_tsp_to_ml",SystemConfig!$C$2:$C$22),""))))</x:f>
      </x:c>
      <x:c r="L60" s="28" t="b">
        <x:v>0</x:v>
      </x:c>
      <x:c r="M60" s="23" t="n">
        <x:v>0</x:v>
      </x:c>
      <x:c r="N60" s="28" t="b">
        <x:v>1</x:v>
      </x:c>
      <x:c r="O60" s="23" t="str">
        <x:v>NEEDS_RECIPE</x:v>
      </x:c>
      <x:c r="P60" s="23" t="str">
        <x:v>재료 구성·qty·unit 최종 확인 필요</x:v>
      </x:c>
      <x:c r="Q60" s="23" t="str">
        <x:f>IF(COUNTIF(Cocktails!$A$2:$A$30,B60)=1,"OK","BAD_FK")</x:f>
        <x:v>OK</x:v>
      </x:c>
      <x:c r="R60" s="23" t="str">
        <x:f>IF(COUNTIF(Ingredients!$A$2:$A$39,E60)=1,"OK","BAD_FK")</x:f>
        <x:v>OK</x:v>
      </x:c>
      <x:c r="S60" s="23" t="str">
        <x:f>IF(OR(H60="FILL_TO_CAPACITY",AND(H60="EXACT_VOLUME",ISNUMBER(I60),OR(J60="ml",J60="oz",J60="tsp"))),"OK","TBD")</x:f>
        <x:v>TBD</x:v>
      </x:c>
    </x:row>
    <x:row r="61" ht="32.400001525878906" hidden="0" customHeight="1">
      <x:c r="A61" s="23" t="str">
        <x:v>pink_lady_02</x:v>
      </x:c>
      <x:c r="B61" s="23" t="str">
        <x:v>pink_lady</x:v>
      </x:c>
      <x:c r="C61" s="23" t="n">
        <x:v>2</x:v>
      </x:c>
      <x:c r="D61" s="23" t="str">
        <x:v>POUR</x:v>
      </x:c>
      <x:c r="E61" s="23" t="str">
        <x:v>grenadine</x:v>
      </x:c>
      <x:c r="F61" s="23" t="str">
        <x:v>REQUIRED</x:v>
      </x:c>
      <x:c r="G61" s="23" t="str">
        <x:v>MANUAL_SELECT</x:v>
      </x:c>
      <x:c r="H61" s="23" t="str">
        <x:v>TBD</x:v>
      </x:c>
      <x:c r="I61" s="23" t="str"/>
      <x:c r="J61" s="23" t="str"/>
      <x:c r="K61" s="23" t="str">
        <x:f>IF(H61&lt;&gt;"EXACT_VOLUME","",IF(J61="ml",I61,IF(J61="oz",I61*SUMIF(SystemConfig!$A$2:$A$22,"unit_oz_to_ml",SystemConfig!$C$2:$C$22),IF(J61="tsp",I61*SUMIF(SystemConfig!$A$2:$A$22,"unit_tsp_to_ml",SystemConfig!$C$2:$C$22),""))))</x:f>
      </x:c>
      <x:c r="L61" s="28" t="b">
        <x:v>0</x:v>
      </x:c>
      <x:c r="M61" s="23" t="n">
        <x:v>0</x:v>
      </x:c>
      <x:c r="N61" s="28" t="b">
        <x:v>1</x:v>
      </x:c>
      <x:c r="O61" s="23" t="str">
        <x:v>NEEDS_RECIPE</x:v>
      </x:c>
      <x:c r="P61" s="23" t="str">
        <x:v>재료 구성·qty·unit 최종 확인 필요</x:v>
      </x:c>
      <x:c r="Q61" s="23" t="str">
        <x:f>IF(COUNTIF(Cocktails!$A$2:$A$30,B61)=1,"OK","BAD_FK")</x:f>
        <x:v>OK</x:v>
      </x:c>
      <x:c r="R61" s="23" t="str">
        <x:f>IF(COUNTIF(Ingredients!$A$2:$A$39,E61)=1,"OK","BAD_FK")</x:f>
        <x:v>OK</x:v>
      </x:c>
      <x:c r="S61" s="23" t="str">
        <x:f>IF(OR(H61="FILL_TO_CAPACITY",AND(H61="EXACT_VOLUME",ISNUMBER(I61),OR(J61="ml",J61="oz",J61="tsp"))),"OK","TBD")</x:f>
        <x:v>TBD</x:v>
      </x:c>
    </x:row>
    <x:row r="62" ht="32.400001525878906" hidden="0" customHeight="1">
      <x:c r="A62" s="23" t="str">
        <x:v>pink_lady_03</x:v>
      </x:c>
      <x:c r="B62" s="23" t="str">
        <x:v>pink_lady</x:v>
      </x:c>
      <x:c r="C62" s="23" t="n">
        <x:v>3</x:v>
      </x:c>
      <x:c r="D62" s="23" t="str">
        <x:v>POUR</x:v>
      </x:c>
      <x:c r="E62" s="23" t="str">
        <x:v>cream</x:v>
      </x:c>
      <x:c r="F62" s="23" t="str">
        <x:v>REQUIRED</x:v>
      </x:c>
      <x:c r="G62" s="23" t="str">
        <x:v>MANUAL_SELECT</x:v>
      </x:c>
      <x:c r="H62" s="23" t="str">
        <x:v>TBD</x:v>
      </x:c>
      <x:c r="I62" s="23" t="str"/>
      <x:c r="J62" s="23" t="str"/>
      <x:c r="K62" s="23" t="str">
        <x:f>IF(H62&lt;&gt;"EXACT_VOLUME","",IF(J62="ml",I62,IF(J62="oz",I62*SUMIF(SystemConfig!$A$2:$A$22,"unit_oz_to_ml",SystemConfig!$C$2:$C$22),IF(J62="tsp",I62*SUMIF(SystemConfig!$A$2:$A$22,"unit_tsp_to_ml",SystemConfig!$C$2:$C$22),""))))</x:f>
      </x:c>
      <x:c r="L62" s="28" t="b">
        <x:v>0</x:v>
      </x:c>
      <x:c r="M62" s="23" t="n">
        <x:v>0</x:v>
      </x:c>
      <x:c r="N62" s="28" t="b">
        <x:v>1</x:v>
      </x:c>
      <x:c r="O62" s="23" t="str">
        <x:v>NEEDS_RECIPE</x:v>
      </x:c>
      <x:c r="P62" s="23" t="str">
        <x:v>재료 구성·qty·unit 최종 확인 필요</x:v>
      </x:c>
      <x:c r="Q62" s="23" t="str">
        <x:f>IF(COUNTIF(Cocktails!$A$2:$A$30,B62)=1,"OK","BAD_FK")</x:f>
        <x:v>OK</x:v>
      </x:c>
      <x:c r="R62" s="23" t="str">
        <x:f>IF(COUNTIF(Ingredients!$A$2:$A$39,E62)=1,"OK","BAD_FK")</x:f>
        <x:v>OK</x:v>
      </x:c>
      <x:c r="S62" s="23" t="str">
        <x:f>IF(OR(H62="FILL_TO_CAPACITY",AND(H62="EXACT_VOLUME",ISNUMBER(I62),OR(J62="ml",J62="oz",J62="tsp"))),"OK","TBD")</x:f>
        <x:v>TBD</x:v>
      </x:c>
    </x:row>
    <x:row r="63" ht="32.400001525878906" hidden="0" customHeight="1">
      <x:c r="A63" s="23" t="str">
        <x:v>blue_hawaii_01</x:v>
      </x:c>
      <x:c r="B63" s="23" t="str">
        <x:v>blue_hawaii</x:v>
      </x:c>
      <x:c r="C63" s="23" t="n">
        <x:v>1</x:v>
      </x:c>
      <x:c r="D63" s="23" t="str">
        <x:v>POUR</x:v>
      </x:c>
      <x:c r="E63" s="23" t="str">
        <x:v>rum</x:v>
      </x:c>
      <x:c r="F63" s="23" t="str">
        <x:v>CORE</x:v>
      </x:c>
      <x:c r="G63" s="23" t="str">
        <x:v>MANUAL_SELECT</x:v>
      </x:c>
      <x:c r="H63" s="23" t="str">
        <x:v>TBD</x:v>
      </x:c>
      <x:c r="I63" s="23" t="str"/>
      <x:c r="J63" s="23" t="str"/>
      <x:c r="K63" s="23" t="str">
        <x:f>IF(H63&lt;&gt;"EXACT_VOLUME","",IF(J63="ml",I63,IF(J63="oz",I63*SUMIF(SystemConfig!$A$2:$A$22,"unit_oz_to_ml",SystemConfig!$C$2:$C$22),IF(J63="tsp",I63*SUMIF(SystemConfig!$A$2:$A$22,"unit_tsp_to_ml",SystemConfig!$C$2:$C$22),""))))</x:f>
      </x:c>
      <x:c r="L63" s="28" t="b">
        <x:v>0</x:v>
      </x:c>
      <x:c r="M63" s="23" t="n">
        <x:v>0</x:v>
      </x:c>
      <x:c r="N63" s="28" t="b">
        <x:v>1</x:v>
      </x:c>
      <x:c r="O63" s="23" t="str">
        <x:v>NEEDS_RECIPE</x:v>
      </x:c>
      <x:c r="P63" s="23" t="str">
        <x:v>재료 구성·qty·unit 최종 확인 필요</x:v>
      </x:c>
      <x:c r="Q63" s="23" t="str">
        <x:f>IF(COUNTIF(Cocktails!$A$2:$A$30,B63)=1,"OK","BAD_FK")</x:f>
        <x:v>OK</x:v>
      </x:c>
      <x:c r="R63" s="23" t="str">
        <x:f>IF(COUNTIF(Ingredients!$A$2:$A$39,E63)=1,"OK","BAD_FK")</x:f>
        <x:v>OK</x:v>
      </x:c>
      <x:c r="S63" s="23" t="str">
        <x:f>IF(OR(H63="FILL_TO_CAPACITY",AND(H63="EXACT_VOLUME",ISNUMBER(I63),OR(J63="ml",J63="oz",J63="tsp"))),"OK","TBD")</x:f>
        <x:v>TBD</x:v>
      </x:c>
    </x:row>
    <x:row r="64" ht="32.400001525878906" hidden="0" customHeight="1">
      <x:c r="A64" s="23" t="str">
        <x:v>blue_hawaii_02</x:v>
      </x:c>
      <x:c r="B64" s="23" t="str">
        <x:v>blue_hawaii</x:v>
      </x:c>
      <x:c r="C64" s="23" t="n">
        <x:v>2</x:v>
      </x:c>
      <x:c r="D64" s="23" t="str">
        <x:v>POUR</x:v>
      </x:c>
      <x:c r="E64" s="23" t="str">
        <x:v>blue_curacao</x:v>
      </x:c>
      <x:c r="F64" s="23" t="str">
        <x:v>CORE</x:v>
      </x:c>
      <x:c r="G64" s="23" t="str">
        <x:v>MANUAL_SELECT</x:v>
      </x:c>
      <x:c r="H64" s="23" t="str">
        <x:v>TBD</x:v>
      </x:c>
      <x:c r="I64" s="23" t="str"/>
      <x:c r="J64" s="23" t="str"/>
      <x:c r="K64" s="23" t="str">
        <x:f>IF(H64&lt;&gt;"EXACT_VOLUME","",IF(J64="ml",I64,IF(J64="oz",I64*SUMIF(SystemConfig!$A$2:$A$22,"unit_oz_to_ml",SystemConfig!$C$2:$C$22),IF(J64="tsp",I64*SUMIF(SystemConfig!$A$2:$A$22,"unit_tsp_to_ml",SystemConfig!$C$2:$C$22),""))))</x:f>
      </x:c>
      <x:c r="L64" s="28" t="b">
        <x:v>0</x:v>
      </x:c>
      <x:c r="M64" s="23" t="n">
        <x:v>0</x:v>
      </x:c>
      <x:c r="N64" s="28" t="b">
        <x:v>1</x:v>
      </x:c>
      <x:c r="O64" s="23" t="str">
        <x:v>NEEDS_RECIPE</x:v>
      </x:c>
      <x:c r="P64" s="23" t="str">
        <x:v>재료 구성·qty·unit 최종 확인 필요</x:v>
      </x:c>
      <x:c r="Q64" s="23" t="str">
        <x:f>IF(COUNTIF(Cocktails!$A$2:$A$30,B64)=1,"OK","BAD_FK")</x:f>
        <x:v>OK</x:v>
      </x:c>
      <x:c r="R64" s="23" t="str">
        <x:f>IF(COUNTIF(Ingredients!$A$2:$A$39,E64)=1,"OK","BAD_FK")</x:f>
        <x:v>OK</x:v>
      </x:c>
      <x:c r="S64" s="23" t="str">
        <x:f>IF(OR(H64="FILL_TO_CAPACITY",AND(H64="EXACT_VOLUME",ISNUMBER(I64),OR(J64="ml",J64="oz",J64="tsp"))),"OK","TBD")</x:f>
        <x:v>TBD</x:v>
      </x:c>
    </x:row>
    <x:row r="65" ht="32.400001525878906" hidden="0" customHeight="1">
      <x:c r="A65" s="23" t="str">
        <x:v>blue_hawaii_03</x:v>
      </x:c>
      <x:c r="B65" s="23" t="str">
        <x:v>blue_hawaii</x:v>
      </x:c>
      <x:c r="C65" s="23" t="n">
        <x:v>3</x:v>
      </x:c>
      <x:c r="D65" s="23" t="str">
        <x:v>POUR</x:v>
      </x:c>
      <x:c r="E65" s="23" t="str">
        <x:v>coconut_milk</x:v>
      </x:c>
      <x:c r="F65" s="23" t="str">
        <x:v>REQUIRED</x:v>
      </x:c>
      <x:c r="G65" s="23" t="str">
        <x:v>MANUAL_SELECT</x:v>
      </x:c>
      <x:c r="H65" s="23" t="str">
        <x:v>TBD</x:v>
      </x:c>
      <x:c r="I65" s="23" t="str"/>
      <x:c r="J65" s="23" t="str"/>
      <x:c r="K65" s="23" t="str">
        <x:f>IF(H65&lt;&gt;"EXACT_VOLUME","",IF(J65="ml",I65,IF(J65="oz",I65*SUMIF(SystemConfig!$A$2:$A$22,"unit_oz_to_ml",SystemConfig!$C$2:$C$22),IF(J65="tsp",I65*SUMIF(SystemConfig!$A$2:$A$22,"unit_tsp_to_ml",SystemConfig!$C$2:$C$22),""))))</x:f>
      </x:c>
      <x:c r="L65" s="28" t="b">
        <x:v>0</x:v>
      </x:c>
      <x:c r="M65" s="23" t="n">
        <x:v>0</x:v>
      </x:c>
      <x:c r="N65" s="28" t="b">
        <x:v>1</x:v>
      </x:c>
      <x:c r="O65" s="23" t="str">
        <x:v>NEEDS_RECIPE</x:v>
      </x:c>
      <x:c r="P65" s="23" t="str">
        <x:v>재료 구성·qty·unit 최종 확인 필요</x:v>
      </x:c>
      <x:c r="Q65" s="23" t="str">
        <x:f>IF(COUNTIF(Cocktails!$A$2:$A$30,B65)=1,"OK","BAD_FK")</x:f>
        <x:v>OK</x:v>
      </x:c>
      <x:c r="R65" s="23" t="str">
        <x:f>IF(COUNTIF(Ingredients!$A$2:$A$39,E65)=1,"OK","BAD_FK")</x:f>
        <x:v>OK</x:v>
      </x:c>
      <x:c r="S65" s="23" t="str">
        <x:f>IF(OR(H65="FILL_TO_CAPACITY",AND(H65="EXACT_VOLUME",ISNUMBER(I65),OR(J65="ml",J65="oz",J65="tsp"))),"OK","TBD")</x:f>
        <x:v>TBD</x:v>
      </x:c>
    </x:row>
    <x:row r="66" ht="32.400001525878906" hidden="0" customHeight="1">
      <x:c r="A66" s="23" t="str">
        <x:v>blue_hawaii_04</x:v>
      </x:c>
      <x:c r="B66" s="23" t="str">
        <x:v>blue_hawaii</x:v>
      </x:c>
      <x:c r="C66" s="23" t="n">
        <x:v>4</x:v>
      </x:c>
      <x:c r="D66" s="23" t="str">
        <x:v>FILL_UP</x:v>
      </x:c>
      <x:c r="E66" s="23" t="str">
        <x:v>pineapple_juice</x:v>
      </x:c>
      <x:c r="F66" s="23" t="str">
        <x:v>REQUIRED</x:v>
      </x:c>
      <x:c r="G66" s="23" t="str">
        <x:v>MANUAL_SELECT</x:v>
      </x:c>
      <x:c r="H66" s="23" t="str">
        <x:v>FILL_TO_CAPACITY</x:v>
      </x:c>
      <x:c r="I66" s="23" t="n">
        <x:v>1</x:v>
      </x:c>
      <x:c r="J66" s="23" t="str">
        <x:v>ratio</x:v>
      </x:c>
      <x:c r="K66" s="23" t="str">
        <x:f>IF(H66&lt;&gt;"EXACT_VOLUME","",IF(J66="ml",I66,IF(J66="oz",I66*SUMIF(SystemConfig!$A$2:$A$22,"unit_oz_to_ml",SystemConfig!$C$2:$C$22),IF(J66="tsp",I66*SUMIF(SystemConfig!$A$2:$A$22,"unit_tsp_to_ml",SystemConfig!$C$2:$C$22),""))))</x:f>
      </x:c>
      <x:c r="L66" s="28" t="b">
        <x:v>1</x:v>
      </x:c>
      <x:c r="M66" s="23" t="n">
        <x:v>1</x:v>
      </x:c>
      <x:c r="N66" s="28" t="b">
        <x:v>1</x:v>
      </x:c>
      <x:c r="O66" s="23" t="str">
        <x:v>CONFIRMED</x:v>
      </x:c>
      <x:c r="P66" s="23" t="str">
        <x:v>재료 구성·qty·unit 최종 확인 필요</x:v>
      </x:c>
      <x:c r="Q66" s="23" t="str">
        <x:f>IF(COUNTIF(Cocktails!$A$2:$A$30,B66)=1,"OK","BAD_FK")</x:f>
        <x:v>OK</x:v>
      </x:c>
      <x:c r="R66" s="23" t="str">
        <x:f>IF(COUNTIF(Ingredients!$A$2:$A$39,E66)=1,"OK","BAD_FK")</x:f>
        <x:v>OK</x:v>
      </x:c>
      <x:c r="S66" s="23" t="str">
        <x:f>IF(OR(H66="FILL_TO_CAPACITY",AND(H66="EXACT_VOLUME",ISNUMBER(I66),OR(J66="ml",J66="oz",J66="tsp"))),"OK","TBD")</x:f>
        <x:v>OK</x:v>
      </x:c>
    </x:row>
    <x:row r="67" ht="32.400001525878906" hidden="0" customHeight="1">
      <x:c r="A67" s="23" t="str">
        <x:v>grasshopper_01</x:v>
      </x:c>
      <x:c r="B67" s="23" t="str">
        <x:v>grasshopper</x:v>
      </x:c>
      <x:c r="C67" s="23" t="n">
        <x:v>1</x:v>
      </x:c>
      <x:c r="D67" s="23" t="str">
        <x:v>POUR</x:v>
      </x:c>
      <x:c r="E67" s="23" t="str">
        <x:v>green_creme_de_menthe</x:v>
      </x:c>
      <x:c r="F67" s="23" t="str">
        <x:v>CORE</x:v>
      </x:c>
      <x:c r="G67" s="23" t="str">
        <x:v>MANUAL_SELECT</x:v>
      </x:c>
      <x:c r="H67" s="23" t="str">
        <x:v>TBD</x:v>
      </x:c>
      <x:c r="I67" s="23" t="str"/>
      <x:c r="J67" s="23" t="str"/>
      <x:c r="K67" s="23" t="str">
        <x:f>IF(H67&lt;&gt;"EXACT_VOLUME","",IF(J67="ml",I67,IF(J67="oz",I67*SUMIF(SystemConfig!$A$2:$A$22,"unit_oz_to_ml",SystemConfig!$C$2:$C$22),IF(J67="tsp",I67*SUMIF(SystemConfig!$A$2:$A$22,"unit_tsp_to_ml",SystemConfig!$C$2:$C$22),""))))</x:f>
      </x:c>
      <x:c r="L67" s="28" t="b">
        <x:v>0</x:v>
      </x:c>
      <x:c r="M67" s="23" t="n">
        <x:v>0</x:v>
      </x:c>
      <x:c r="N67" s="28" t="b">
        <x:v>1</x:v>
      </x:c>
      <x:c r="O67" s="23" t="str">
        <x:v>NEEDS_RECIPE</x:v>
      </x:c>
      <x:c r="P67" s="23" t="str">
        <x:v>재료 구성·qty·unit 최종 확인 필요</x:v>
      </x:c>
      <x:c r="Q67" s="23" t="str">
        <x:f>IF(COUNTIF(Cocktails!$A$2:$A$30,B67)=1,"OK","BAD_FK")</x:f>
        <x:v>OK</x:v>
      </x:c>
      <x:c r="R67" s="23" t="str">
        <x:f>IF(COUNTIF(Ingredients!$A$2:$A$39,E67)=1,"OK","BAD_FK")</x:f>
        <x:v>OK</x:v>
      </x:c>
      <x:c r="S67" s="23" t="str">
        <x:f>IF(OR(H67="FILL_TO_CAPACITY",AND(H67="EXACT_VOLUME",ISNUMBER(I67),OR(J67="ml",J67="oz",J67="tsp"))),"OK","TBD")</x:f>
        <x:v>TBD</x:v>
      </x:c>
    </x:row>
    <x:row r="68" ht="32.400001525878906" hidden="0" customHeight="1">
      <x:c r="A68" s="23" t="str">
        <x:v>grasshopper_02</x:v>
      </x:c>
      <x:c r="B68" s="23" t="str">
        <x:v>grasshopper</x:v>
      </x:c>
      <x:c r="C68" s="23" t="n">
        <x:v>2</x:v>
      </x:c>
      <x:c r="D68" s="23" t="str">
        <x:v>POUR</x:v>
      </x:c>
      <x:c r="E68" s="23" t="str">
        <x:v>white_creme_de_cacao</x:v>
      </x:c>
      <x:c r="F68" s="23" t="str">
        <x:v>CORE</x:v>
      </x:c>
      <x:c r="G68" s="23" t="str">
        <x:v>MANUAL_SELECT</x:v>
      </x:c>
      <x:c r="H68" s="23" t="str">
        <x:v>TBD</x:v>
      </x:c>
      <x:c r="I68" s="23" t="str"/>
      <x:c r="J68" s="23" t="str"/>
      <x:c r="K68" s="23" t="str">
        <x:f>IF(H68&lt;&gt;"EXACT_VOLUME","",IF(J68="ml",I68,IF(J68="oz",I68*SUMIF(SystemConfig!$A$2:$A$22,"unit_oz_to_ml",SystemConfig!$C$2:$C$22),IF(J68="tsp",I68*SUMIF(SystemConfig!$A$2:$A$22,"unit_tsp_to_ml",SystemConfig!$C$2:$C$22),""))))</x:f>
      </x:c>
      <x:c r="L68" s="28" t="b">
        <x:v>0</x:v>
      </x:c>
      <x:c r="M68" s="23" t="n">
        <x:v>0</x:v>
      </x:c>
      <x:c r="N68" s="28" t="b">
        <x:v>1</x:v>
      </x:c>
      <x:c r="O68" s="23" t="str">
        <x:v>NEEDS_RECIPE</x:v>
      </x:c>
      <x:c r="P68" s="23" t="str">
        <x:v>재료 구성·qty·unit 최종 확인 필요</x:v>
      </x:c>
      <x:c r="Q68" s="23" t="str">
        <x:f>IF(COUNTIF(Cocktails!$A$2:$A$30,B68)=1,"OK","BAD_FK")</x:f>
        <x:v>OK</x:v>
      </x:c>
      <x:c r="R68" s="23" t="str">
        <x:f>IF(COUNTIF(Ingredients!$A$2:$A$39,E68)=1,"OK","BAD_FK")</x:f>
        <x:v>OK</x:v>
      </x:c>
      <x:c r="S68" s="23" t="str">
        <x:f>IF(OR(H68="FILL_TO_CAPACITY",AND(H68="EXACT_VOLUME",ISNUMBER(I68),OR(J68="ml",J68="oz",J68="tsp"))),"OK","TBD")</x:f>
        <x:v>TBD</x:v>
      </x:c>
    </x:row>
    <x:row r="69" ht="32.400001525878906" hidden="0" customHeight="1">
      <x:c r="A69" s="23" t="str">
        <x:v>grasshopper_03</x:v>
      </x:c>
      <x:c r="B69" s="23" t="str">
        <x:v>grasshopper</x:v>
      </x:c>
      <x:c r="C69" s="23" t="n">
        <x:v>3</x:v>
      </x:c>
      <x:c r="D69" s="23" t="str">
        <x:v>POUR</x:v>
      </x:c>
      <x:c r="E69" s="23" t="str">
        <x:v>cream</x:v>
      </x:c>
      <x:c r="F69" s="23" t="str">
        <x:v>REQUIRED</x:v>
      </x:c>
      <x:c r="G69" s="23" t="str">
        <x:v>MANUAL_SELECT</x:v>
      </x:c>
      <x:c r="H69" s="23" t="str">
        <x:v>TBD</x:v>
      </x:c>
      <x:c r="I69" s="23" t="str"/>
      <x:c r="J69" s="23" t="str"/>
      <x:c r="K69" s="23" t="str">
        <x:f>IF(H69&lt;&gt;"EXACT_VOLUME","",IF(J69="ml",I69,IF(J69="oz",I69*SUMIF(SystemConfig!$A$2:$A$22,"unit_oz_to_ml",SystemConfig!$C$2:$C$22),IF(J69="tsp",I69*SUMIF(SystemConfig!$A$2:$A$22,"unit_tsp_to_ml",SystemConfig!$C$2:$C$22),""))))</x:f>
      </x:c>
      <x:c r="L69" s="28" t="b">
        <x:v>0</x:v>
      </x:c>
      <x:c r="M69" s="23" t="n">
        <x:v>0</x:v>
      </x:c>
      <x:c r="N69" s="28" t="b">
        <x:v>1</x:v>
      </x:c>
      <x:c r="O69" s="23" t="str">
        <x:v>NEEDS_RECIPE</x:v>
      </x:c>
      <x:c r="P69" s="23" t="str">
        <x:v>재료 구성·qty·unit 최종 확인 필요</x:v>
      </x:c>
      <x:c r="Q69" s="23" t="str">
        <x:f>IF(COUNTIF(Cocktails!$A$2:$A$30,B69)=1,"OK","BAD_FK")</x:f>
        <x:v>OK</x:v>
      </x:c>
      <x:c r="R69" s="23" t="str">
        <x:f>IF(COUNTIF(Ingredients!$A$2:$A$39,E69)=1,"OK","BAD_FK")</x:f>
        <x:v>OK</x:v>
      </x:c>
      <x:c r="S69" s="23" t="str">
        <x:f>IF(OR(H69="FILL_TO_CAPACITY",AND(H69="EXACT_VOLUME",ISNUMBER(I69),OR(J69="ml",J69="oz",J69="tsp"))),"OK","TBD")</x:f>
        <x:v>TBD</x:v>
      </x:c>
    </x:row>
    <x:row r="70" ht="32.400001525878906" hidden="0" customHeight="1">
      <x:c r="A70" s="23" t="str">
        <x:v>blue_sapphire_01</x:v>
      </x:c>
      <x:c r="B70" s="23" t="str">
        <x:v>blue_sapphire</x:v>
      </x:c>
      <x:c r="C70" s="23" t="n">
        <x:v>1</x:v>
      </x:c>
      <x:c r="D70" s="23" t="str">
        <x:v>POUR</x:v>
      </x:c>
      <x:c r="E70" s="23" t="str">
        <x:v>blue_curacao</x:v>
      </x:c>
      <x:c r="F70" s="23" t="str">
        <x:v>CORE</x:v>
      </x:c>
      <x:c r="G70" s="23" t="str">
        <x:v>MANUAL_SELECT</x:v>
      </x:c>
      <x:c r="H70" s="23" t="str">
        <x:v>TBD</x:v>
      </x:c>
      <x:c r="I70" s="23" t="str"/>
      <x:c r="J70" s="23" t="str"/>
      <x:c r="K70" s="23" t="str">
        <x:f>IF(H70&lt;&gt;"EXACT_VOLUME","",IF(J70="ml",I70,IF(J70="oz",I70*SUMIF(SystemConfig!$A$2:$A$22,"unit_oz_to_ml",SystemConfig!$C$2:$C$22),IF(J70="tsp",I70*SUMIF(SystemConfig!$A$2:$A$22,"unit_tsp_to_ml",SystemConfig!$C$2:$C$22),""))))</x:f>
      </x:c>
      <x:c r="L70" s="28" t="b">
        <x:v>0</x:v>
      </x:c>
      <x:c r="M70" s="23" t="n">
        <x:v>0</x:v>
      </x:c>
      <x:c r="N70" s="28" t="b">
        <x:v>1</x:v>
      </x:c>
      <x:c r="O70" s="23" t="str">
        <x:v>NEEDS_RECIPE</x:v>
      </x:c>
      <x:c r="P70" s="23" t="str">
        <x:v>재료 구성·qty·unit 최종 확인 필요</x:v>
      </x:c>
      <x:c r="Q70" s="23" t="str">
        <x:f>IF(COUNTIF(Cocktails!$A$2:$A$30,B70)=1,"OK","BAD_FK")</x:f>
        <x:v>OK</x:v>
      </x:c>
      <x:c r="R70" s="23" t="str">
        <x:f>IF(COUNTIF(Ingredients!$A$2:$A$39,E70)=1,"OK","BAD_FK")</x:f>
        <x:v>OK</x:v>
      </x:c>
      <x:c r="S70" s="23" t="str">
        <x:f>IF(OR(H70="FILL_TO_CAPACITY",AND(H70="EXACT_VOLUME",ISNUMBER(I70),OR(J70="ml",J70="oz",J70="tsp"))),"OK","TBD")</x:f>
        <x:v>TBD</x:v>
      </x:c>
    </x:row>
    <x:row r="71" ht="32.400001525878906" hidden="0" customHeight="1">
      <x:c r="A71" s="23" t="str">
        <x:v>blue_sapphire_02</x:v>
      </x:c>
      <x:c r="B71" s="23" t="str">
        <x:v>blue_sapphire</x:v>
      </x:c>
      <x:c r="C71" s="23" t="n">
        <x:v>2</x:v>
      </x:c>
      <x:c r="D71" s="23" t="str">
        <x:v>POUR</x:v>
      </x:c>
      <x:c r="E71" s="23" t="str">
        <x:v>peach_brandy</x:v>
      </x:c>
      <x:c r="F71" s="23" t="str">
        <x:v>REQUIRED</x:v>
      </x:c>
      <x:c r="G71" s="23" t="str">
        <x:v>MANUAL_SELECT</x:v>
      </x:c>
      <x:c r="H71" s="23" t="str">
        <x:v>TBD</x:v>
      </x:c>
      <x:c r="I71" s="23" t="str"/>
      <x:c r="J71" s="23" t="str"/>
      <x:c r="K71" s="23" t="str">
        <x:f>IF(H71&lt;&gt;"EXACT_VOLUME","",IF(J71="ml",I71,IF(J71="oz",I71*SUMIF(SystemConfig!$A$2:$A$22,"unit_oz_to_ml",SystemConfig!$C$2:$C$22),IF(J71="tsp",I71*SUMIF(SystemConfig!$A$2:$A$22,"unit_tsp_to_ml",SystemConfig!$C$2:$C$22),""))))</x:f>
      </x:c>
      <x:c r="L71" s="28" t="b">
        <x:v>0</x:v>
      </x:c>
      <x:c r="M71" s="23" t="n">
        <x:v>0</x:v>
      </x:c>
      <x:c r="N71" s="28" t="b">
        <x:v>1</x:v>
      </x:c>
      <x:c r="O71" s="23" t="str">
        <x:v>NEEDS_RECIPE</x:v>
      </x:c>
      <x:c r="P71" s="23" t="str">
        <x:v>재료 구성·qty·unit 최종 확인 필요</x:v>
      </x:c>
      <x:c r="Q71" s="23" t="str">
        <x:f>IF(COUNTIF(Cocktails!$A$2:$A$30,B71)=1,"OK","BAD_FK")</x:f>
        <x:v>OK</x:v>
      </x:c>
      <x:c r="R71" s="23" t="str">
        <x:f>IF(COUNTIF(Ingredients!$A$2:$A$39,E71)=1,"OK","BAD_FK")</x:f>
        <x:v>OK</x:v>
      </x:c>
      <x:c r="S71" s="23" t="str">
        <x:f>IF(OR(H71="FILL_TO_CAPACITY",AND(H71="EXACT_VOLUME",ISNUMBER(I71),OR(J71="ml",J71="oz",J71="tsp"))),"OK","TBD")</x:f>
        <x:v>TBD</x:v>
      </x:c>
    </x:row>
    <x:row r="72" ht="32.400001525878906" hidden="0" customHeight="1">
      <x:c r="A72" s="23" t="str">
        <x:v>blue_sapphire_03</x:v>
      </x:c>
      <x:c r="B72" s="23" t="str">
        <x:v>blue_sapphire</x:v>
      </x:c>
      <x:c r="C72" s="23" t="n">
        <x:v>3</x:v>
      </x:c>
      <x:c r="D72" s="23" t="str">
        <x:v>POUR</x:v>
      </x:c>
      <x:c r="E72" s="23" t="str">
        <x:v>coconut_milk</x:v>
      </x:c>
      <x:c r="F72" s="23" t="str">
        <x:v>REQUIRED</x:v>
      </x:c>
      <x:c r="G72" s="23" t="str">
        <x:v>MANUAL_SELECT</x:v>
      </x:c>
      <x:c r="H72" s="23" t="str">
        <x:v>TBD</x:v>
      </x:c>
      <x:c r="I72" s="23" t="str"/>
      <x:c r="J72" s="23" t="str"/>
      <x:c r="K72" s="23" t="str">
        <x:f>IF(H72&lt;&gt;"EXACT_VOLUME","",IF(J72="ml",I72,IF(J72="oz",I72*SUMIF(SystemConfig!$A$2:$A$22,"unit_oz_to_ml",SystemConfig!$C$2:$C$22),IF(J72="tsp",I72*SUMIF(SystemConfig!$A$2:$A$22,"unit_tsp_to_ml",SystemConfig!$C$2:$C$22),""))))</x:f>
      </x:c>
      <x:c r="L72" s="28" t="b">
        <x:v>0</x:v>
      </x:c>
      <x:c r="M72" s="23" t="n">
        <x:v>0</x:v>
      </x:c>
      <x:c r="N72" s="28" t="b">
        <x:v>1</x:v>
      </x:c>
      <x:c r="O72" s="23" t="str">
        <x:v>NEEDS_RECIPE</x:v>
      </x:c>
      <x:c r="P72" s="23" t="str">
        <x:v>재료 구성·qty·unit 최종 확인 필요</x:v>
      </x:c>
      <x:c r="Q72" s="23" t="str">
        <x:f>IF(COUNTIF(Cocktails!$A$2:$A$30,B72)=1,"OK","BAD_FK")</x:f>
        <x:v>OK</x:v>
      </x:c>
      <x:c r="R72" s="23" t="str">
        <x:f>IF(COUNTIF(Ingredients!$A$2:$A$39,E72)=1,"OK","BAD_FK")</x:f>
        <x:v>OK</x:v>
      </x:c>
      <x:c r="S72" s="23" t="str">
        <x:f>IF(OR(H72="FILL_TO_CAPACITY",AND(H72="EXACT_VOLUME",ISNUMBER(I72),OR(J72="ml",J72="oz",J72="tsp"))),"OK","TBD")</x:f>
        <x:v>TBD</x:v>
      </x:c>
    </x:row>
    <x:row r="73" ht="32.400001525878906" hidden="0" customHeight="1">
      <x:c r="A73" s="23" t="str">
        <x:v>irish_coffee_01</x:v>
      </x:c>
      <x:c r="B73" s="23" t="str">
        <x:v>irish_coffee</x:v>
      </x:c>
      <x:c r="C73" s="23" t="n">
        <x:v>1</x:v>
      </x:c>
      <x:c r="D73" s="23" t="str">
        <x:v>POUR</x:v>
      </x:c>
      <x:c r="E73" s="23" t="str">
        <x:v>whiskey</x:v>
      </x:c>
      <x:c r="F73" s="23" t="str">
        <x:v>CORE</x:v>
      </x:c>
      <x:c r="G73" s="23" t="str">
        <x:v>MANUAL_SELECT</x:v>
      </x:c>
      <x:c r="H73" s="23" t="str">
        <x:v>TBD</x:v>
      </x:c>
      <x:c r="I73" s="23" t="str"/>
      <x:c r="J73" s="23" t="str"/>
      <x:c r="K73" s="23" t="str">
        <x:f>IF(H73&lt;&gt;"EXACT_VOLUME","",IF(J73="ml",I73,IF(J73="oz",I73*SUMIF(SystemConfig!$A$2:$A$22,"unit_oz_to_ml",SystemConfig!$C$2:$C$22),IF(J73="tsp",I73*SUMIF(SystemConfig!$A$2:$A$22,"unit_tsp_to_ml",SystemConfig!$C$2:$C$22),""))))</x:f>
      </x:c>
      <x:c r="L73" s="28" t="b">
        <x:v>0</x:v>
      </x:c>
      <x:c r="M73" s="23" t="n">
        <x:v>0</x:v>
      </x:c>
      <x:c r="N73" s="28" t="b">
        <x:v>1</x:v>
      </x:c>
      <x:c r="O73" s="23" t="str">
        <x:v>NEEDS_RECIPE</x:v>
      </x:c>
      <x:c r="P73" s="23" t="str">
        <x:v>재료 구성·qty·unit 최종 확인 필요</x:v>
      </x:c>
      <x:c r="Q73" s="23" t="str">
        <x:f>IF(COUNTIF(Cocktails!$A$2:$A$30,B73)=1,"OK","BAD_FK")</x:f>
        <x:v>OK</x:v>
      </x:c>
      <x:c r="R73" s="23" t="str">
        <x:f>IF(COUNTIF(Ingredients!$A$2:$A$39,E73)=1,"OK","BAD_FK")</x:f>
        <x:v>OK</x:v>
      </x:c>
      <x:c r="S73" s="23" t="str">
        <x:f>IF(OR(H73="FILL_TO_CAPACITY",AND(H73="EXACT_VOLUME",ISNUMBER(I73),OR(J73="ml",J73="oz",J73="tsp"))),"OK","TBD")</x:f>
        <x:v>TBD</x:v>
      </x:c>
    </x:row>
    <x:row r="74" ht="32.400001525878906" hidden="0" customHeight="1">
      <x:c r="A74" s="23" t="str">
        <x:v>irish_coffee_02</x:v>
      </x:c>
      <x:c r="B74" s="23" t="str">
        <x:v>irish_coffee</x:v>
      </x:c>
      <x:c r="C74" s="23" t="n">
        <x:v>2</x:v>
      </x:c>
      <x:c r="D74" s="23" t="str">
        <x:v>POUR</x:v>
      </x:c>
      <x:c r="E74" s="23" t="str">
        <x:v>coffee</x:v>
      </x:c>
      <x:c r="F74" s="23" t="str">
        <x:v>CORE</x:v>
      </x:c>
      <x:c r="G74" s="23" t="str">
        <x:v>MANUAL_SELECT</x:v>
      </x:c>
      <x:c r="H74" s="23" t="str">
        <x:v>TBD</x:v>
      </x:c>
      <x:c r="I74" s="23" t="str"/>
      <x:c r="J74" s="23" t="str"/>
      <x:c r="K74" s="23" t="str">
        <x:f>IF(H74&lt;&gt;"EXACT_VOLUME","",IF(J74="ml",I74,IF(J74="oz",I74*SUMIF(SystemConfig!$A$2:$A$22,"unit_oz_to_ml",SystemConfig!$C$2:$C$22),IF(J74="tsp",I74*SUMIF(SystemConfig!$A$2:$A$22,"unit_tsp_to_ml",SystemConfig!$C$2:$C$22),""))))</x:f>
      </x:c>
      <x:c r="L74" s="28" t="b">
        <x:v>0</x:v>
      </x:c>
      <x:c r="M74" s="23" t="n">
        <x:v>0</x:v>
      </x:c>
      <x:c r="N74" s="28" t="b">
        <x:v>1</x:v>
      </x:c>
      <x:c r="O74" s="23" t="str">
        <x:v>NEEDS_RECIPE</x:v>
      </x:c>
      <x:c r="P74" s="23" t="str">
        <x:v>재료 구성·qty·unit 최종 확인 필요</x:v>
      </x:c>
      <x:c r="Q74" s="23" t="str">
        <x:f>IF(COUNTIF(Cocktails!$A$2:$A$30,B74)=1,"OK","BAD_FK")</x:f>
        <x:v>OK</x:v>
      </x:c>
      <x:c r="R74" s="23" t="str">
        <x:f>IF(COUNTIF(Ingredients!$A$2:$A$39,E74)=1,"OK","BAD_FK")</x:f>
        <x:v>OK</x:v>
      </x:c>
      <x:c r="S74" s="23" t="str">
        <x:f>IF(OR(H74="FILL_TO_CAPACITY",AND(H74="EXACT_VOLUME",ISNUMBER(I74),OR(J74="ml",J74="oz",J74="tsp"))),"OK","TBD")</x:f>
        <x:v>TBD</x:v>
      </x:c>
    </x:row>
    <x:row r="75" ht="32.400001525878906" hidden="0" customHeight="1">
      <x:c r="A75" s="23" t="str">
        <x:v>irish_coffee_03</x:v>
      </x:c>
      <x:c r="B75" s="23" t="str">
        <x:v>irish_coffee</x:v>
      </x:c>
      <x:c r="C75" s="23" t="n">
        <x:v>3</x:v>
      </x:c>
      <x:c r="D75" s="23" t="str">
        <x:v>POUR</x:v>
      </x:c>
      <x:c r="E75" s="23" t="str">
        <x:v>cream</x:v>
      </x:c>
      <x:c r="F75" s="23" t="str">
        <x:v>REQUIRED</x:v>
      </x:c>
      <x:c r="G75" s="23" t="str">
        <x:v>MANUAL_SELECT</x:v>
      </x:c>
      <x:c r="H75" s="23" t="str">
        <x:v>TBD</x:v>
      </x:c>
      <x:c r="I75" s="23" t="str"/>
      <x:c r="J75" s="23" t="str"/>
      <x:c r="K75" s="23" t="str">
        <x:f>IF(H75&lt;&gt;"EXACT_VOLUME","",IF(J75="ml",I75,IF(J75="oz",I75*SUMIF(SystemConfig!$A$2:$A$22,"unit_oz_to_ml",SystemConfig!$C$2:$C$22),IF(J75="tsp",I75*SUMIF(SystemConfig!$A$2:$A$22,"unit_tsp_to_ml",SystemConfig!$C$2:$C$22),""))))</x:f>
      </x:c>
      <x:c r="L75" s="28" t="b">
        <x:v>0</x:v>
      </x:c>
      <x:c r="M75" s="23" t="n">
        <x:v>0</x:v>
      </x:c>
      <x:c r="N75" s="28" t="b">
        <x:v>1</x:v>
      </x:c>
      <x:c r="O75" s="23" t="str">
        <x:v>NEEDS_RECIPE</x:v>
      </x:c>
      <x:c r="P75" s="23" t="str">
        <x:v>재료 구성·qty·unit 최종 확인 필요</x:v>
      </x:c>
      <x:c r="Q75" s="23" t="str">
        <x:f>IF(COUNTIF(Cocktails!$A$2:$A$30,B75)=1,"OK","BAD_FK")</x:f>
        <x:v>OK</x:v>
      </x:c>
      <x:c r="R75" s="23" t="str">
        <x:f>IF(COUNTIF(Ingredients!$A$2:$A$39,E75)=1,"OK","BAD_FK")</x:f>
        <x:v>OK</x:v>
      </x:c>
      <x:c r="S75" s="23" t="str">
        <x:f>IF(OR(H75="FILL_TO_CAPACITY",AND(H75="EXACT_VOLUME",ISNUMBER(I75),OR(J75="ml",J75="oz",J75="tsp"))),"OK","TBD")</x:f>
        <x:v>TBD</x:v>
      </x:c>
    </x:row>
    <x:row r="76" ht="21.600000381469727" hidden="0" customHeight="1">
      <x:c r="A76" s="23" t="str">
        <x:v>long_island_iced_tea_01</x:v>
      </x:c>
      <x:c r="B76" s="23" t="str">
        <x:v>long_island_iced_tea</x:v>
      </x:c>
      <x:c r="C76" s="23" t="n">
        <x:v>1</x:v>
      </x:c>
      <x:c r="D76" s="23" t="str">
        <x:v>POUR</x:v>
      </x:c>
      <x:c r="E76" s="23" t="str">
        <x:v>gin</x:v>
      </x:c>
      <x:c r="F76" s="23" t="str">
        <x:v>CORE</x:v>
      </x:c>
      <x:c r="G76" s="23" t="str">
        <x:v>MANUAL_SELECT</x:v>
      </x:c>
      <x:c r="H76" s="23" t="str">
        <x:v>EXACT_VOLUME</x:v>
      </x:c>
      <x:c r="I76" s="23" t="n">
        <x:v>1</x:v>
      </x:c>
      <x:c r="J76" s="23" t="str">
        <x:v>oz</x:v>
      </x:c>
      <x:c r="K76" s="23" t="n">
        <x:f>IF(H76&lt;&gt;"EXACT_VOLUME","",IF(J76="ml",I76,IF(J76="oz",I76*SUMIF(SystemConfig!$A$2:$A$22,"unit_oz_to_ml",SystemConfig!$C$2:$C$22),IF(J76="tsp",I76*SUMIF(SystemConfig!$A$2:$A$22,"unit_tsp_to_ml",SystemConfig!$C$2:$C$22),""))))</x:f>
        <x:v>30</x:v>
      </x:c>
      <x:c r="L76" s="28" t="b">
        <x:v>1</x:v>
      </x:c>
      <x:c r="M76" s="23" t="n">
        <x:v>1</x:v>
      </x:c>
      <x:c r="N76" s="28" t="b">
        <x:v>1</x:v>
      </x:c>
      <x:c r="O76" s="23" t="str">
        <x:v>CONFIRMED</x:v>
      </x:c>
      <x:c r="P76" s="23" t="str"/>
      <x:c r="Q76" s="23" t="str">
        <x:f>IF(COUNTIF(Cocktails!$A$2:$A$30,B76)=1,"OK","BAD_FK")</x:f>
        <x:v>OK</x:v>
      </x:c>
      <x:c r="R76" s="23" t="str">
        <x:f>IF(COUNTIF(Ingredients!$A$2:$A$39,E76)=1,"OK","BAD_FK")</x:f>
        <x:v>OK</x:v>
      </x:c>
      <x:c r="S76" s="23" t="str">
        <x:f>IF(OR(H76="FILL_TO_CAPACITY",AND(H76="EXACT_VOLUME",ISNUMBER(I76),OR(J76="ml",J76="oz",J76="tsp"))),"OK","TBD")</x:f>
        <x:v>OK</x:v>
      </x:c>
    </x:row>
    <x:row r="77" ht="21.600000381469727" hidden="0" customHeight="1">
      <x:c r="A77" s="23" t="str">
        <x:v>long_island_iced_tea_02</x:v>
      </x:c>
      <x:c r="B77" s="23" t="str">
        <x:v>long_island_iced_tea</x:v>
      </x:c>
      <x:c r="C77" s="23" t="n">
        <x:v>2</x:v>
      </x:c>
      <x:c r="D77" s="23" t="str">
        <x:v>POUR</x:v>
      </x:c>
      <x:c r="E77" s="23" t="str">
        <x:v>vodka</x:v>
      </x:c>
      <x:c r="F77" s="23" t="str">
        <x:v>CORE</x:v>
      </x:c>
      <x:c r="G77" s="23" t="str">
        <x:v>MANUAL_SELECT</x:v>
      </x:c>
      <x:c r="H77" s="23" t="str">
        <x:v>EXACT_VOLUME</x:v>
      </x:c>
      <x:c r="I77" s="23" t="n">
        <x:v>1</x:v>
      </x:c>
      <x:c r="J77" s="23" t="str">
        <x:v>oz</x:v>
      </x:c>
      <x:c r="K77" s="23" t="n">
        <x:f>IF(H77&lt;&gt;"EXACT_VOLUME","",IF(J77="ml",I77,IF(J77="oz",I77*SUMIF(SystemConfig!$A$2:$A$22,"unit_oz_to_ml",SystemConfig!$C$2:$C$22),IF(J77="tsp",I77*SUMIF(SystemConfig!$A$2:$A$22,"unit_tsp_to_ml",SystemConfig!$C$2:$C$22),""))))</x:f>
        <x:v>30</x:v>
      </x:c>
      <x:c r="L77" s="28" t="b">
        <x:v>1</x:v>
      </x:c>
      <x:c r="M77" s="23" t="n">
        <x:v>1</x:v>
      </x:c>
      <x:c r="N77" s="28" t="b">
        <x:v>1</x:v>
      </x:c>
      <x:c r="O77" s="23" t="str">
        <x:v>CONFIRMED</x:v>
      </x:c>
      <x:c r="P77" s="23" t="str"/>
      <x:c r="Q77" s="23" t="str">
        <x:f>IF(COUNTIF(Cocktails!$A$2:$A$30,B77)=1,"OK","BAD_FK")</x:f>
        <x:v>OK</x:v>
      </x:c>
      <x:c r="R77" s="23" t="str">
        <x:f>IF(COUNTIF(Ingredients!$A$2:$A$39,E77)=1,"OK","BAD_FK")</x:f>
        <x:v>OK</x:v>
      </x:c>
      <x:c r="S77" s="23" t="str">
        <x:f>IF(OR(H77="FILL_TO_CAPACITY",AND(H77="EXACT_VOLUME",ISNUMBER(I77),OR(J77="ml",J77="oz",J77="tsp"))),"OK","TBD")</x:f>
        <x:v>OK</x:v>
      </x:c>
    </x:row>
    <x:row r="78" ht="21.600000381469727" hidden="0" customHeight="1">
      <x:c r="A78" s="23" t="str">
        <x:v>long_island_iced_tea_03</x:v>
      </x:c>
      <x:c r="B78" s="23" t="str">
        <x:v>long_island_iced_tea</x:v>
      </x:c>
      <x:c r="C78" s="23" t="n">
        <x:v>3</x:v>
      </x:c>
      <x:c r="D78" s="23" t="str">
        <x:v>POUR</x:v>
      </x:c>
      <x:c r="E78" s="23" t="str">
        <x:v>rum</x:v>
      </x:c>
      <x:c r="F78" s="23" t="str">
        <x:v>CORE</x:v>
      </x:c>
      <x:c r="G78" s="23" t="str">
        <x:v>MANUAL_SELECT</x:v>
      </x:c>
      <x:c r="H78" s="23" t="str">
        <x:v>EXACT_VOLUME</x:v>
      </x:c>
      <x:c r="I78" s="23" t="n">
        <x:v>1</x:v>
      </x:c>
      <x:c r="J78" s="23" t="str">
        <x:v>oz</x:v>
      </x:c>
      <x:c r="K78" s="23" t="n">
        <x:f>IF(H78&lt;&gt;"EXACT_VOLUME","",IF(J78="ml",I78,IF(J78="oz",I78*SUMIF(SystemConfig!$A$2:$A$22,"unit_oz_to_ml",SystemConfig!$C$2:$C$22),IF(J78="tsp",I78*SUMIF(SystemConfig!$A$2:$A$22,"unit_tsp_to_ml",SystemConfig!$C$2:$C$22),""))))</x:f>
        <x:v>30</x:v>
      </x:c>
      <x:c r="L78" s="28" t="b">
        <x:v>1</x:v>
      </x:c>
      <x:c r="M78" s="23" t="n">
        <x:v>1</x:v>
      </x:c>
      <x:c r="N78" s="28" t="b">
        <x:v>1</x:v>
      </x:c>
      <x:c r="O78" s="23" t="str">
        <x:v>CONFIRMED</x:v>
      </x:c>
      <x:c r="P78" s="23" t="str"/>
      <x:c r="Q78" s="23" t="str">
        <x:f>IF(COUNTIF(Cocktails!$A$2:$A$30,B78)=1,"OK","BAD_FK")</x:f>
        <x:v>OK</x:v>
      </x:c>
      <x:c r="R78" s="23" t="str">
        <x:f>IF(COUNTIF(Ingredients!$A$2:$A$39,E78)=1,"OK","BAD_FK")</x:f>
        <x:v>OK</x:v>
      </x:c>
      <x:c r="S78" s="23" t="str">
        <x:f>IF(OR(H78="FILL_TO_CAPACITY",AND(H78="EXACT_VOLUME",ISNUMBER(I78),OR(J78="ml",J78="oz",J78="tsp"))),"OK","TBD")</x:f>
        <x:v>OK</x:v>
      </x:c>
    </x:row>
    <x:row r="79" ht="21.600000381469727" hidden="0" customHeight="1">
      <x:c r="A79" s="23" t="str">
        <x:v>long_island_iced_tea_04</x:v>
      </x:c>
      <x:c r="B79" s="23" t="str">
        <x:v>long_island_iced_tea</x:v>
      </x:c>
      <x:c r="C79" s="23" t="n">
        <x:v>4</x:v>
      </x:c>
      <x:c r="D79" s="23" t="str">
        <x:v>POUR</x:v>
      </x:c>
      <x:c r="E79" s="23" t="str">
        <x:v>tequila</x:v>
      </x:c>
      <x:c r="F79" s="23" t="str">
        <x:v>CORE</x:v>
      </x:c>
      <x:c r="G79" s="23" t="str">
        <x:v>MANUAL_SELECT</x:v>
      </x:c>
      <x:c r="H79" s="23" t="str">
        <x:v>EXACT_VOLUME</x:v>
      </x:c>
      <x:c r="I79" s="23" t="n">
        <x:v>1</x:v>
      </x:c>
      <x:c r="J79" s="23" t="str">
        <x:v>oz</x:v>
      </x:c>
      <x:c r="K79" s="23" t="n">
        <x:f>IF(H79&lt;&gt;"EXACT_VOLUME","",IF(J79="ml",I79,IF(J79="oz",I79*SUMIF(SystemConfig!$A$2:$A$22,"unit_oz_to_ml",SystemConfig!$C$2:$C$22),IF(J79="tsp",I79*SUMIF(SystemConfig!$A$2:$A$22,"unit_tsp_to_ml",SystemConfig!$C$2:$C$22),""))))</x:f>
        <x:v>30</x:v>
      </x:c>
      <x:c r="L79" s="28" t="b">
        <x:v>1</x:v>
      </x:c>
      <x:c r="M79" s="23" t="n">
        <x:v>1</x:v>
      </x:c>
      <x:c r="N79" s="28" t="b">
        <x:v>1</x:v>
      </x:c>
      <x:c r="O79" s="23" t="str">
        <x:v>CONFIRMED</x:v>
      </x:c>
      <x:c r="P79" s="23" t="str"/>
      <x:c r="Q79" s="23" t="str">
        <x:f>IF(COUNTIF(Cocktails!$A$2:$A$30,B79)=1,"OK","BAD_FK")</x:f>
        <x:v>OK</x:v>
      </x:c>
      <x:c r="R79" s="23" t="str">
        <x:f>IF(COUNTIF(Ingredients!$A$2:$A$39,E79)=1,"OK","BAD_FK")</x:f>
        <x:v>OK</x:v>
      </x:c>
      <x:c r="S79" s="23" t="str">
        <x:f>IF(OR(H79="FILL_TO_CAPACITY",AND(H79="EXACT_VOLUME",ISNUMBER(I79),OR(J79="ml",J79="oz",J79="tsp"))),"OK","TBD")</x:f>
        <x:v>OK</x:v>
      </x:c>
    </x:row>
    <x:row r="80" ht="21.600000381469727" hidden="0" customHeight="1">
      <x:c r="A80" s="23" t="str">
        <x:v>long_island_iced_tea_05</x:v>
      </x:c>
      <x:c r="B80" s="23" t="str">
        <x:v>long_island_iced_tea</x:v>
      </x:c>
      <x:c r="C80" s="23" t="n">
        <x:v>5</x:v>
      </x:c>
      <x:c r="D80" s="23" t="str">
        <x:v>SQUEEZE</x:v>
      </x:c>
      <x:c r="E80" s="23" t="str">
        <x:v>lemon</x:v>
      </x:c>
      <x:c r="F80" s="23" t="str">
        <x:v>REQUIRED</x:v>
      </x:c>
      <x:c r="G80" s="23" t="str">
        <x:v>GUIDED_GIMMICK</x:v>
      </x:c>
      <x:c r="H80" s="23" t="str">
        <x:v>EXACT_VOLUME</x:v>
      </x:c>
      <x:c r="I80" s="23" t="n">
        <x:v>0.5</x:v>
      </x:c>
      <x:c r="J80" s="23" t="str">
        <x:v>oz</x:v>
      </x:c>
      <x:c r="K80" s="23" t="n">
        <x:f>IF(H80&lt;&gt;"EXACT_VOLUME","",IF(J80="ml",I80,IF(J80="oz",I80*SUMIF(SystemConfig!$A$2:$A$22,"unit_oz_to_ml",SystemConfig!$C$2:$C$22),IF(J80="tsp",I80*SUMIF(SystemConfig!$A$2:$A$22,"unit_tsp_to_ml",SystemConfig!$C$2:$C$22),""))))</x:f>
        <x:v>15</x:v>
      </x:c>
      <x:c r="L80" s="28" t="b">
        <x:v>1</x:v>
      </x:c>
      <x:c r="M80" s="23" t="n">
        <x:v>1</x:v>
      </x:c>
      <x:c r="N80" s="28" t="b">
        <x:v>0</x:v>
      </x:c>
      <x:c r="O80" s="23" t="str">
        <x:v>CONFIRMED</x:v>
      </x:c>
      <x:c r="P80" s="23" t="str"/>
      <x:c r="Q80" s="23" t="str">
        <x:f>IF(COUNTIF(Cocktails!$A$2:$A$30,B80)=1,"OK","BAD_FK")</x:f>
        <x:v>OK</x:v>
      </x:c>
      <x:c r="R80" s="23" t="str">
        <x:f>IF(COUNTIF(Ingredients!$A$2:$A$39,E80)=1,"OK","BAD_FK")</x:f>
        <x:v>OK</x:v>
      </x:c>
      <x:c r="S80" s="23" t="str">
        <x:f>IF(OR(H80="FILL_TO_CAPACITY",AND(H80="EXACT_VOLUME",ISNUMBER(I80),OR(J80="ml",J80="oz",J80="tsp"))),"OK","TBD")</x:f>
        <x:v>OK</x:v>
      </x:c>
    </x:row>
    <x:row r="81" ht="21.600000381469727" hidden="0" customHeight="1">
      <x:c r="A81" s="23" t="str">
        <x:v>long_island_iced_tea_06</x:v>
      </x:c>
      <x:c r="B81" s="23" t="str">
        <x:v>long_island_iced_tea</x:v>
      </x:c>
      <x:c r="C81" s="23" t="n">
        <x:v>6</x:v>
      </x:c>
      <x:c r="D81" s="23" t="str">
        <x:v>FILL_UP</x:v>
      </x:c>
      <x:c r="E81" s="23" t="str">
        <x:v>cola</x:v>
      </x:c>
      <x:c r="F81" s="23" t="str">
        <x:v>REQUIRED</x:v>
      </x:c>
      <x:c r="G81" s="23" t="str">
        <x:v>MANUAL_SELECT</x:v>
      </x:c>
      <x:c r="H81" s="23" t="str">
        <x:v>FILL_TO_CAPACITY</x:v>
      </x:c>
      <x:c r="I81" s="23" t="n">
        <x:v>1</x:v>
      </x:c>
      <x:c r="J81" s="23" t="str">
        <x:v>ratio</x:v>
      </x:c>
      <x:c r="K81" s="23" t="str">
        <x:f>IF(H81&lt;&gt;"EXACT_VOLUME","",IF(J81="ml",I81,IF(J81="oz",I81*SUMIF(SystemConfig!$A$2:$A$22,"unit_oz_to_ml",SystemConfig!$C$2:$C$22),IF(J81="tsp",I81*SUMIF(SystemConfig!$A$2:$A$22,"unit_tsp_to_ml",SystemConfig!$C$2:$C$22),""))))</x:f>
      </x:c>
      <x:c r="L81" s="28" t="b">
        <x:v>1</x:v>
      </x:c>
      <x:c r="M81" s="23" t="n">
        <x:v>1</x:v>
      </x:c>
      <x:c r="N81" s="28" t="b">
        <x:v>1</x:v>
      </x:c>
      <x:c r="O81" s="23" t="str">
        <x:v>CONFIRMED</x:v>
      </x:c>
      <x:c r="P81" s="23" t="str">
        <x:v>목표 qty 미확정</x:v>
      </x:c>
      <x:c r="Q81" s="23" t="str">
        <x:f>IF(COUNTIF(Cocktails!$A$2:$A$30,B81)=1,"OK","BAD_FK")</x:f>
        <x:v>OK</x:v>
      </x:c>
      <x:c r="R81" s="23" t="str">
        <x:f>IF(COUNTIF(Ingredients!$A$2:$A$39,E81)=1,"OK","BAD_FK")</x:f>
        <x:v>OK</x:v>
      </x:c>
      <x:c r="S81" s="23" t="str">
        <x:f>IF(OR(H81="FILL_TO_CAPACITY",AND(H81="EXACT_VOLUME",ISNUMBER(I81),OR(J81="ml",J81="oz",J81="tsp"))),"OK","TBD")</x:f>
        <x:v>OK</x:v>
      </x:c>
    </x:row>
    <x:row r="82" ht="32.400001525878906" hidden="0" customHeight="1">
      <x:c r="A82" s="23" t="str">
        <x:v>oasis_sunset_01</x:v>
      </x:c>
      <x:c r="B82" s="23" t="str">
        <x:v>oasis_sunset</x:v>
      </x:c>
      <x:c r="C82" s="23" t="n">
        <x:v>1</x:v>
      </x:c>
      <x:c r="D82" s="23" t="str">
        <x:v>POUR</x:v>
      </x:c>
      <x:c r="E82" s="23" t="str">
        <x:v>tequila</x:v>
      </x:c>
      <x:c r="F82" s="23" t="str">
        <x:v>CORE</x:v>
      </x:c>
      <x:c r="G82" s="23" t="str">
        <x:v>MANUAL_SELECT</x:v>
      </x:c>
      <x:c r="H82" s="23" t="str">
        <x:v>TBD</x:v>
      </x:c>
      <x:c r="I82" s="23" t="str"/>
      <x:c r="J82" s="23" t="str"/>
      <x:c r="K82" s="23" t="str">
        <x:f>IF(H82&lt;&gt;"EXACT_VOLUME","",IF(J82="ml",I82,IF(J82="oz",I82*SUMIF(SystemConfig!$A$2:$A$22,"unit_oz_to_ml",SystemConfig!$C$2:$C$22),IF(J82="tsp",I82*SUMIF(SystemConfig!$A$2:$A$22,"unit_tsp_to_ml",SystemConfig!$C$2:$C$22),""))))</x:f>
      </x:c>
      <x:c r="L82" s="28" t="b">
        <x:v>0</x:v>
      </x:c>
      <x:c r="M82" s="23" t="n">
        <x:v>0</x:v>
      </x:c>
      <x:c r="N82" s="28" t="b">
        <x:v>1</x:v>
      </x:c>
      <x:c r="O82" s="23" t="str">
        <x:v>NEEDS_RECIPE</x:v>
      </x:c>
      <x:c r="P82" s="23" t="str">
        <x:v>재료 구성·qty·unit 최종 확인 필요</x:v>
      </x:c>
      <x:c r="Q82" s="23" t="str">
        <x:f>IF(COUNTIF(Cocktails!$A$2:$A$30,B82)=1,"OK","BAD_FK")</x:f>
        <x:v>OK</x:v>
      </x:c>
      <x:c r="R82" s="23" t="str">
        <x:f>IF(COUNTIF(Ingredients!$A$2:$A$39,E82)=1,"OK","BAD_FK")</x:f>
        <x:v>OK</x:v>
      </x:c>
      <x:c r="S82" s="23" t="str">
        <x:f>IF(OR(H82="FILL_TO_CAPACITY",AND(H82="EXACT_VOLUME",ISNUMBER(I82),OR(J82="ml",J82="oz",J82="tsp"))),"OK","TBD")</x:f>
        <x:v>TBD</x:v>
      </x:c>
    </x:row>
    <x:row r="83" ht="32.400001525878906" hidden="0" customHeight="1">
      <x:c r="A83" s="23" t="str">
        <x:v>oasis_sunset_02</x:v>
      </x:c>
      <x:c r="B83" s="23" t="str">
        <x:v>oasis_sunset</x:v>
      </x:c>
      <x:c r="C83" s="23" t="n">
        <x:v>2</x:v>
      </x:c>
      <x:c r="D83" s="23" t="str">
        <x:v>POUR</x:v>
      </x:c>
      <x:c r="E83" s="23" t="str">
        <x:v>blue_curacao</x:v>
      </x:c>
      <x:c r="F83" s="23" t="str">
        <x:v>CORE</x:v>
      </x:c>
      <x:c r="G83" s="23" t="str">
        <x:v>MANUAL_SELECT</x:v>
      </x:c>
      <x:c r="H83" s="23" t="str">
        <x:v>TBD</x:v>
      </x:c>
      <x:c r="I83" s="23" t="str"/>
      <x:c r="J83" s="23" t="str"/>
      <x:c r="K83" s="23" t="str">
        <x:f>IF(H83&lt;&gt;"EXACT_VOLUME","",IF(J83="ml",I83,IF(J83="oz",I83*SUMIF(SystemConfig!$A$2:$A$22,"unit_oz_to_ml",SystemConfig!$C$2:$C$22),IF(J83="tsp",I83*SUMIF(SystemConfig!$A$2:$A$22,"unit_tsp_to_ml",SystemConfig!$C$2:$C$22),""))))</x:f>
      </x:c>
      <x:c r="L83" s="28" t="b">
        <x:v>0</x:v>
      </x:c>
      <x:c r="M83" s="23" t="n">
        <x:v>0</x:v>
      </x:c>
      <x:c r="N83" s="28" t="b">
        <x:v>1</x:v>
      </x:c>
      <x:c r="O83" s="23" t="str">
        <x:v>NEEDS_RECIPE</x:v>
      </x:c>
      <x:c r="P83" s="23" t="str">
        <x:v>재료 구성·qty·unit 최종 확인 필요</x:v>
      </x:c>
      <x:c r="Q83" s="23" t="str">
        <x:f>IF(COUNTIF(Cocktails!$A$2:$A$30,B83)=1,"OK","BAD_FK")</x:f>
        <x:v>OK</x:v>
      </x:c>
      <x:c r="R83" s="23" t="str">
        <x:f>IF(COUNTIF(Ingredients!$A$2:$A$39,E83)=1,"OK","BAD_FK")</x:f>
        <x:v>OK</x:v>
      </x:c>
      <x:c r="S83" s="23" t="str">
        <x:f>IF(OR(H83="FILL_TO_CAPACITY",AND(H83="EXACT_VOLUME",ISNUMBER(I83),OR(J83="ml",J83="oz",J83="tsp"))),"OK","TBD")</x:f>
        <x:v>TBD</x:v>
      </x:c>
    </x:row>
    <x:row r="84" ht="32.400001525878906" hidden="0" customHeight="1">
      <x:c r="A84" s="23" t="str">
        <x:v>oasis_sunset_03</x:v>
      </x:c>
      <x:c r="B84" s="23" t="str">
        <x:v>oasis_sunset</x:v>
      </x:c>
      <x:c r="C84" s="23" t="n">
        <x:v>3</x:v>
      </x:c>
      <x:c r="D84" s="23" t="str">
        <x:v>POUR</x:v>
      </x:c>
      <x:c r="E84" s="23" t="str">
        <x:v>grenadine</x:v>
      </x:c>
      <x:c r="F84" s="23" t="str">
        <x:v>REQUIRED</x:v>
      </x:c>
      <x:c r="G84" s="23" t="str">
        <x:v>MANUAL_SELECT</x:v>
      </x:c>
      <x:c r="H84" s="23" t="str">
        <x:v>TBD</x:v>
      </x:c>
      <x:c r="I84" s="23" t="str"/>
      <x:c r="J84" s="23" t="str"/>
      <x:c r="K84" s="23" t="str">
        <x:f>IF(H84&lt;&gt;"EXACT_VOLUME","",IF(J84="ml",I84,IF(J84="oz",I84*SUMIF(SystemConfig!$A$2:$A$22,"unit_oz_to_ml",SystemConfig!$C$2:$C$22),IF(J84="tsp",I84*SUMIF(SystemConfig!$A$2:$A$22,"unit_tsp_to_ml",SystemConfig!$C$2:$C$22),""))))</x:f>
      </x:c>
      <x:c r="L84" s="28" t="b">
        <x:v>0</x:v>
      </x:c>
      <x:c r="M84" s="23" t="n">
        <x:v>0</x:v>
      </x:c>
      <x:c r="N84" s="28" t="b">
        <x:v>1</x:v>
      </x:c>
      <x:c r="O84" s="23" t="str">
        <x:v>NEEDS_RECIPE</x:v>
      </x:c>
      <x:c r="P84" s="23" t="str">
        <x:v>재료 구성·qty·unit 최종 확인 필요</x:v>
      </x:c>
      <x:c r="Q84" s="23" t="str">
        <x:f>IF(COUNTIF(Cocktails!$A$2:$A$30,B84)=1,"OK","BAD_FK")</x:f>
        <x:v>OK</x:v>
      </x:c>
      <x:c r="R84" s="23" t="str">
        <x:f>IF(COUNTIF(Ingredients!$A$2:$A$39,E84)=1,"OK","BAD_FK")</x:f>
        <x:v>OK</x:v>
      </x:c>
      <x:c r="S84" s="23" t="str">
        <x:f>IF(OR(H84="FILL_TO_CAPACITY",AND(H84="EXACT_VOLUME",ISNUMBER(I84),OR(J84="ml",J84="oz",J84="tsp"))),"OK","TBD")</x:f>
        <x:v>TBD</x:v>
      </x:c>
    </x:row>
  </x:sheetData>
  <x:dataValidations count="6">
    <x:dataValidation type="list" sqref="D2:D84">
      <x:formula1>"POUR,SQUEEZE,POWDER,FILL_UP"</x:formula1>
    </x:dataValidation>
    <x:dataValidation type="list" sqref="F2:F84">
      <x:formula1>"CORE,REQUIRED,OPTIONAL"</x:formula1>
    </x:dataValidation>
    <x:dataValidation type="list" sqref="G2:G84">
      <x:formula1>"MANUAL_SELECT,GUIDED_GIMMICK,AUTO_APPLY"</x:formula1>
    </x:dataValidation>
    <x:dataValidation type="list" sqref="H2:H84">
      <x:formula1>"EXACT_VOLUME,FILL_TO_CAPACITY,TBD"</x:formula1>
    </x:dataValidation>
    <x:dataValidation type="list" sqref="J2:J84">
      <x:formula1>"ml,oz,tsp,ratio"</x:formula1>
    </x:dataValidation>
    <x:dataValidation type="list" sqref="O2:O84">
      <x:formula1>"CONFIRMED,NEEDS_RECIPE,NEEDS_REVIEW"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4" hidden="0" customWidth="1"/>
    <x:col min="4" max="4" width="20" hidden="0" customWidth="1"/>
    <x:col min="5" max="5" width="20" hidden="0" customWidth="1"/>
    <x:col min="6" max="6" width="17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22" hidden="0" customWidth="1"/>
    <x:col min="12" max="12" width="34" hidden="0" customWidth="1"/>
    <x:col min="13" max="13" width="34" hidden="0" customWidth="1"/>
    <x:col min="14" max="14" width="17" hidden="0" customWidth="1"/>
    <x:col min="15" max="15" width="34" hidden="0" customWidth="1"/>
    <x:col min="16" max="16" width="22" hidden="0" customWidth="1"/>
    <x:col min="17" max="17" width="14" hidden="0" customWidth="1"/>
    <x:col min="18" max="18" width="14" hidden="0" customWidth="1"/>
  </x:cols>
  <x:sheetData>
    <x:row r="1" ht="28" customHeight="1">
      <x:c r="A1" s="19" t="str">
        <x:v>ingredient_id</x:v>
      </x:c>
      <x:c r="B1" s="19" t="str">
        <x:v>roster_status</x:v>
      </x:c>
      <x:c r="C1" s="19" t="str">
        <x:v>unlock_story_day</x:v>
      </x:c>
      <x:c r="D1" s="19" t="str">
        <x:v>name_ko</x:v>
      </x:c>
      <x:c r="E1" s="19" t="str">
        <x:v>name_en</x:v>
      </x:c>
      <x:c r="F1" s="19" t="str">
        <x:v>category</x:v>
      </x:c>
      <x:c r="G1" s="19" t="str">
        <x:v>requires_open</x:v>
      </x:c>
      <x:c r="H1" s="19" t="str">
        <x:v>open_type</x:v>
      </x:c>
      <x:c r="I1" s="19" t="str">
        <x:v>color_hex</x:v>
      </x:c>
      <x:c r="J1" s="19" t="str">
        <x:v>sprite_key</x:v>
      </x:c>
      <x:c r="K1" s="19" t="str">
        <x:v>icon_key</x:v>
      </x:c>
      <x:c r="L1" s="19" t="str">
        <x:v>description_ko</x:v>
      </x:c>
      <x:c r="M1" s="19" t="str">
        <x:v>description_en</x:v>
      </x:c>
      <x:c r="N1" s="19" t="str">
        <x:v>data_status</x:v>
      </x:c>
      <x:c r="O1" s="19" t="str">
        <x:v>review_note</x:v>
      </x:c>
      <x:c r="P1" s="19" t="str">
        <x:v>qa_id</x:v>
      </x:c>
      <x:c r="Q1" s="19" t="str">
        <x:v>qa_l10n</x:v>
      </x:c>
      <x:c r="R1" s="19" t="str">
        <x:v>qa_open_type</x:v>
      </x:c>
    </x:row>
    <x:row r="2" ht="54" hidden="0" customHeight="1">
      <x:c r="A2" s="23" t="str">
        <x:v>gin</x:v>
      </x:c>
      <x:c r="B2" s="23" t="str">
        <x:v>ACTIVE</x:v>
      </x:c>
      <x:c r="C2" s="23" t="n">
        <x:v>0</x:v>
      </x:c>
      <x:c r="D2" s="23" t="str">
        <x:v>진</x:v>
      </x:c>
      <x:c r="E2" s="23" t="str">
        <x:v>Gin</x:v>
      </x:c>
      <x:c r="F2" s="23" t="str">
        <x:v>BASE_SPIRIT</x:v>
      </x:c>
      <x:c r="G2" s="28" t="b">
        <x:v>0</x:v>
      </x:c>
      <x:c r="H2" s="23" t="str"/>
      <x:c r="I2" s="23" t="str">
        <x:v>#E6EBF0</x:v>
      </x:c>
      <x:c r="J2" s="23" t="str"/>
      <x:c r="K2" s="23" t="str"/>
      <x:c r="L2" s="23" t="str">
        <x:v>주니퍼베리 향의 증류주. 칵테일의 기본기.</x:v>
      </x:c>
      <x:c r="M2" s="23" t="str">
        <x:v>A juniper-scented spirit. The foundation of cocktails.</x:v>
      </x:c>
      <x:c r="N2" s="23" t="str">
        <x:v>CONFIRMED</x:v>
      </x:c>
      <x:c r="O2" s="23" t="str"/>
      <x:c r="P2" s="23" t="str">
        <x:f>IF(COUNTIF($A$2:$A$39,A2)=1,"OK","DUPLICATE")</x:f>
        <x:v>OK</x:v>
      </x:c>
      <x:c r="Q2" s="23" t="str">
        <x:f>IF(AND(D2&lt;&gt;"",E2&lt;&gt;"",L2&lt;&gt;"",M2&lt;&gt;""),"OK","MISSING")</x:f>
        <x:v>OK</x:v>
      </x:c>
      <x:c r="R2" s="23" t="str">
        <x:f>IF(OR(G2=FALSE,AND(G2=TRUE,H2&lt;&gt;"")),"OK","MISSING")</x:f>
        <x:v>OK</x:v>
      </x:c>
    </x:row>
    <x:row r="3" ht="32.400001525878906" hidden="0" customHeight="1">
      <x:c r="A3" s="23" t="str">
        <x:v>beer</x:v>
      </x:c>
      <x:c r="B3" s="23" t="str">
        <x:v>ACTIVE</x:v>
      </x:c>
      <x:c r="C3" s="23" t="n">
        <x:v>0</x:v>
      </x:c>
      <x:c r="D3" s="23" t="str">
        <x:v>맥주</x:v>
      </x:c>
      <x:c r="E3" s="23" t="str">
        <x:v>Beer</x:v>
      </x:c>
      <x:c r="F3" s="23" t="str">
        <x:v>WINE_BEER</x:v>
      </x:c>
      <x:c r="G3" s="28" t="b">
        <x:v>1</x:v>
      </x:c>
      <x:c r="H3" s="23" t="str">
        <x:v>CAP</x:v>
      </x:c>
      <x:c r="I3" s="23" t="str">
        <x:v>#CAA204</x:v>
      </x:c>
      <x:c r="J3" s="23" t="str"/>
      <x:c r="K3" s="23" t="str"/>
      <x:c r="L3" s="23" t="str">
        <x:v>차갑게. 그게 전부이자 진리.</x:v>
      </x:c>
      <x:c r="M3" s="23" t="str">
        <x:v>Serve it cold. That's the whole truth.</x:v>
      </x:c>
      <x:c r="N3" s="23" t="str">
        <x:v>CONFIRMED</x:v>
      </x:c>
      <x:c r="O3" s="23" t="str">
        <x:v>Open + Pour 확정</x:v>
      </x:c>
      <x:c r="P3" s="23" t="str">
        <x:f>IF(COUNTIF($A$2:$A$39,A3)=1,"OK","DUPLICATE")</x:f>
        <x:v>OK</x:v>
      </x:c>
      <x:c r="Q3" s="23" t="str">
        <x:f>IF(AND(D3&lt;&gt;"",E3&lt;&gt;"",L3&lt;&gt;"",M3&lt;&gt;""),"OK","MISSING")</x:f>
        <x:v>OK</x:v>
      </x:c>
      <x:c r="R3" s="23" t="str">
        <x:f>IF(OR(G3=FALSE,AND(G3=TRUE,H3&lt;&gt;"")),"OK","MISSING")</x:f>
        <x:v>OK</x:v>
      </x:c>
    </x:row>
    <x:row r="4" ht="54" hidden="0" customHeight="1">
      <x:c r="A4" s="23" t="str">
        <x:v>red_wine</x:v>
      </x:c>
      <x:c r="B4" s="23" t="str">
        <x:v>ACTIVE</x:v>
      </x:c>
      <x:c r="C4" s="23" t="n">
        <x:v>0</x:v>
      </x:c>
      <x:c r="D4" s="23" t="str">
        <x:v>레드와인</x:v>
      </x:c>
      <x:c r="E4" s="23" t="str">
        <x:v>Red Wine</x:v>
      </x:c>
      <x:c r="F4" s="23" t="str">
        <x:v>WINE_BEER</x:v>
      </x:c>
      <x:c r="G4" s="28" t="b">
        <x:v>0</x:v>
      </x:c>
      <x:c r="H4" s="23" t="str"/>
      <x:c r="I4" s="23" t="str">
        <x:v>#620F0B</x:v>
      </x:c>
      <x:c r="J4" s="23" t="str"/>
      <x:c r="K4" s="23" t="str"/>
      <x:c r="L4" s="23" t="str">
        <x:v>잔에 따르는 순간부터 분위기가 달라진다.</x:v>
      </x:c>
      <x:c r="M4" s="23" t="str">
        <x:v>The mood changes the moment it hits the glass.</x:v>
      </x:c>
      <x:c r="N4" s="23" t="str">
        <x:v>CONFIRMED</x:v>
      </x:c>
      <x:c r="O4" s="23" t="str"/>
      <x:c r="P4" s="23" t="str">
        <x:f>IF(COUNTIF($A$2:$A$39,A4)=1,"OK","DUPLICATE")</x:f>
        <x:v>OK</x:v>
      </x:c>
      <x:c r="Q4" s="23" t="str">
        <x:f>IF(AND(D4&lt;&gt;"",E4&lt;&gt;"",L4&lt;&gt;"",M4&lt;&gt;""),"OK","MISSING")</x:f>
        <x:v>OK</x:v>
      </x:c>
      <x:c r="R4" s="23" t="str">
        <x:f>IF(OR(G4=FALSE,AND(G4=TRUE,H4&lt;&gt;"")),"OK","MISSING")</x:f>
        <x:v>OK</x:v>
      </x:c>
    </x:row>
    <x:row r="5" ht="54" hidden="0" customHeight="1">
      <x:c r="A5" s="23" t="str">
        <x:v>champagne</x:v>
      </x:c>
      <x:c r="B5" s="23" t="str">
        <x:v>ACTIVE</x:v>
      </x:c>
      <x:c r="C5" s="23" t="n">
        <x:v>0</x:v>
      </x:c>
      <x:c r="D5" s="23" t="str">
        <x:v>샴페인</x:v>
      </x:c>
      <x:c r="E5" s="23" t="str">
        <x:v>Champagne</x:v>
      </x:c>
      <x:c r="F5" s="23" t="str">
        <x:v>WINE_BEER</x:v>
      </x:c>
      <x:c r="G5" s="28" t="b">
        <x:v>0</x:v>
      </x:c>
      <x:c r="H5" s="23" t="str"/>
      <x:c r="I5" s="23" t="str">
        <x:v>#FFF5E1</x:v>
      </x:c>
      <x:c r="J5" s="23" t="str"/>
      <x:c r="K5" s="23" t="str"/>
      <x:c r="L5" s="23" t="str">
        <x:v>축하할 일이 없어도 축하하게 만드는 술.</x:v>
      </x:c>
      <x:c r="M5" s="23" t="str">
        <x:v>Makes you celebrate even with nothing to celebrate.</x:v>
      </x:c>
      <x:c r="N5" s="23" t="str">
        <x:v>CONFIRMED</x:v>
      </x:c>
      <x:c r="O5" s="23" t="str"/>
      <x:c r="P5" s="23" t="str">
        <x:f>IF(COUNTIF($A$2:$A$39,A5)=1,"OK","DUPLICATE")</x:f>
        <x:v>OK</x:v>
      </x:c>
      <x:c r="Q5" s="23" t="str">
        <x:f>IF(AND(D5&lt;&gt;"",E5&lt;&gt;"",L5&lt;&gt;"",M5&lt;&gt;""),"OK","MISSING")</x:f>
        <x:v>OK</x:v>
      </x:c>
      <x:c r="R5" s="23" t="str">
        <x:f>IF(OR(G5=FALSE,AND(G5=TRUE,H5&lt;&gt;"")),"OK","MISSING")</x:f>
        <x:v>OK</x:v>
      </x:c>
    </x:row>
    <x:row r="6" ht="32.400001525878906" hidden="0" customHeight="1">
      <x:c r="A6" s="23" t="str">
        <x:v>tonic_water</x:v>
      </x:c>
      <x:c r="B6" s="23" t="str">
        <x:v>ACTIVE</x:v>
      </x:c>
      <x:c r="C6" s="23" t="n">
        <x:v>0</x:v>
      </x:c>
      <x:c r="D6" s="23" t="str">
        <x:v>토닉워터</x:v>
      </x:c>
      <x:c r="E6" s="23" t="str">
        <x:v>Tonic Water</x:v>
      </x:c>
      <x:c r="F6" s="23" t="str">
        <x:v>MIXER</x:v>
      </x:c>
      <x:c r="G6" s="28" t="b">
        <x:v>0</x:v>
      </x:c>
      <x:c r="H6" s="23" t="str"/>
      <x:c r="I6" s="23" t="str">
        <x:v>#F5FAFF</x:v>
      </x:c>
      <x:c r="J6" s="23" t="str"/>
      <x:c r="K6" s="23" t="str"/>
      <x:c r="L6" s="23" t="str">
        <x:v>씁쓸한 탄산. 진의 가장 오랜 친구.</x:v>
      </x:c>
      <x:c r="M6" s="23" t="str">
        <x:v>Bitter fizz. Gin's oldest friend.</x:v>
      </x:c>
      <x:c r="N6" s="23" t="str">
        <x:v>CONFIRMED</x:v>
      </x:c>
      <x:c r="O6" s="23" t="str"/>
      <x:c r="P6" s="23" t="str">
        <x:f>IF(COUNTIF($A$2:$A$39,A6)=1,"OK","DUPLICATE")</x:f>
        <x:v>OK</x:v>
      </x:c>
      <x:c r="Q6" s="23" t="str">
        <x:f>IF(AND(D6&lt;&gt;"",E6&lt;&gt;"",L6&lt;&gt;"",M6&lt;&gt;""),"OK","MISSING")</x:f>
        <x:v>OK</x:v>
      </x:c>
      <x:c r="R6" s="23" t="str">
        <x:f>IF(OR(G6=FALSE,AND(G6=TRUE,H6&lt;&gt;"")),"OK","MISSING")</x:f>
        <x:v>OK</x:v>
      </x:c>
    </x:row>
    <x:row r="7" ht="43.20000076293945" hidden="0" customHeight="1">
      <x:c r="A7" s="23" t="str">
        <x:v>soda_water</x:v>
      </x:c>
      <x:c r="B7" s="23" t="str">
        <x:v>ACTIVE</x:v>
      </x:c>
      <x:c r="C7" s="23" t="n">
        <x:v>0</x:v>
      </x:c>
      <x:c r="D7" s="23" t="str">
        <x:v>소다수</x:v>
      </x:c>
      <x:c r="E7" s="23" t="str">
        <x:v>Soda Water</x:v>
      </x:c>
      <x:c r="F7" s="23" t="str">
        <x:v>MIXER</x:v>
      </x:c>
      <x:c r="G7" s="28" t="b">
        <x:v>0</x:v>
      </x:c>
      <x:c r="H7" s="23" t="str"/>
      <x:c r="I7" s="23" t="str">
        <x:v>#F5FAFF</x:v>
      </x:c>
      <x:c r="J7" s="23" t="str"/>
      <x:c r="K7" s="23" t="str"/>
      <x:c r="L7" s="23" t="str">
        <x:v>아무 맛도 없어서 무엇이든 될 수 있다.</x:v>
      </x:c>
      <x:c r="M7" s="23" t="str">
        <x:v>Tastes like nothing, so it can become anything.</x:v>
      </x:c>
      <x:c r="N7" s="23" t="str">
        <x:v>CONFIRMED</x:v>
      </x:c>
      <x:c r="O7" s="23" t="str"/>
      <x:c r="P7" s="23" t="str">
        <x:f>IF(COUNTIF($A$2:$A$39,A7)=1,"OK","DUPLICATE")</x:f>
        <x:v>OK</x:v>
      </x:c>
      <x:c r="Q7" s="23" t="str">
        <x:f>IF(AND(D7&lt;&gt;"",E7&lt;&gt;"",L7&lt;&gt;"",M7&lt;&gt;""),"OK","MISSING")</x:f>
        <x:v>OK</x:v>
      </x:c>
      <x:c r="R7" s="23" t="str">
        <x:f>IF(OR(G7=FALSE,AND(G7=TRUE,H7&lt;&gt;"")),"OK","MISSING")</x:f>
        <x:v>OK</x:v>
      </x:c>
    </x:row>
    <x:row r="8" ht="43.20000076293945" hidden="0" customHeight="1">
      <x:c r="A8" s="23" t="str">
        <x:v>lemon</x:v>
      </x:c>
      <x:c r="B8" s="23" t="str">
        <x:v>ACTIVE</x:v>
      </x:c>
      <x:c r="C8" s="23" t="n">
        <x:v>0</x:v>
      </x:c>
      <x:c r="D8" s="23" t="str">
        <x:v>레몬</x:v>
      </x:c>
      <x:c r="E8" s="23" t="str">
        <x:v>Lemon</x:v>
      </x:c>
      <x:c r="F8" s="23" t="str">
        <x:v>FRUIT</x:v>
      </x:c>
      <x:c r="G8" s="28" t="b">
        <x:v>0</x:v>
      </x:c>
      <x:c r="H8" s="23" t="str"/>
      <x:c r="I8" s="23" t="str"/>
      <x:c r="J8" s="23" t="str"/>
      <x:c r="K8" s="23" t="str"/>
      <x:c r="L8" s="23" t="str">
        <x:v>스퀴즈용. 새콤함의 표준.</x:v>
      </x:c>
      <x:c r="M8" s="23" t="str">
        <x:v>For squeezing. The standard of sour.</x:v>
      </x:c>
      <x:c r="N8" s="23" t="str">
        <x:v>CONFIRMED</x:v>
      </x:c>
      <x:c r="O8" s="23" t="str"/>
      <x:c r="P8" s="23" t="str">
        <x:f>IF(COUNTIF($A$2:$A$39,A8)=1,"OK","DUPLICATE")</x:f>
        <x:v>OK</x:v>
      </x:c>
      <x:c r="Q8" s="23" t="str">
        <x:f>IF(AND(D8&lt;&gt;"",E8&lt;&gt;"",L8&lt;&gt;"",M8&lt;&gt;""),"OK","MISSING")</x:f>
        <x:v>OK</x:v>
      </x:c>
      <x:c r="R8" s="23" t="str">
        <x:f>IF(OR(G8=FALSE,AND(G8=TRUE,H8&lt;&gt;"")),"OK","MISSING")</x:f>
        <x:v>OK</x:v>
      </x:c>
    </x:row>
    <x:row r="9" ht="43.20000076293945" hidden="0" customHeight="1">
      <x:c r="A9" s="23" t="str">
        <x:v>sugar</x:v>
      </x:c>
      <x:c r="B9" s="23" t="str">
        <x:v>ACTIVE</x:v>
      </x:c>
      <x:c r="C9" s="23" t="n">
        <x:v>0</x:v>
      </x:c>
      <x:c r="D9" s="23" t="str">
        <x:v>설탕</x:v>
      </x:c>
      <x:c r="E9" s="23" t="str">
        <x:v>Sugar</x:v>
      </x:c>
      <x:c r="F9" s="23" t="str">
        <x:v>POWDER</x:v>
      </x:c>
      <x:c r="G9" s="28" t="b">
        <x:v>0</x:v>
      </x:c>
      <x:c r="H9" s="23" t="str"/>
      <x:c r="I9" s="23" t="str"/>
      <x:c r="J9" s="23" t="str"/>
      <x:c r="K9" s="23" t="str"/>
      <x:c r="L9" s="23" t="str">
        <x:v>파우더용. 1티스푼의 위로.</x:v>
      </x:c>
      <x:c r="M9" s="23" t="str">
        <x:v>For powder. One teaspoon of comfort.</x:v>
      </x:c>
      <x:c r="N9" s="23" t="str">
        <x:v>CONFIRMED</x:v>
      </x:c>
      <x:c r="O9" s="23" t="str"/>
      <x:c r="P9" s="23" t="str">
        <x:f>IF(COUNTIF($A$2:$A$39,A9)=1,"OK","DUPLICATE")</x:f>
        <x:v>OK</x:v>
      </x:c>
      <x:c r="Q9" s="23" t="str">
        <x:f>IF(AND(D9&lt;&gt;"",E9&lt;&gt;"",L9&lt;&gt;"",M9&lt;&gt;""),"OK","MISSING")</x:f>
        <x:v>OK</x:v>
      </x:c>
      <x:c r="R9" s="23" t="str">
        <x:f>IF(OR(G9=FALSE,AND(G9=TRUE,H9&lt;&gt;"")),"OK","MISSING")</x:f>
        <x:v>OK</x:v>
      </x:c>
    </x:row>
    <x:row r="10" ht="32.400001525878906" hidden="0" customHeight="1">
      <x:c r="A10" s="23" t="str">
        <x:v>tequila</x:v>
      </x:c>
      <x:c r="B10" s="23" t="str">
        <x:v>ACTIVE</x:v>
      </x:c>
      <x:c r="C10" s="23" t="n">
        <x:v>1</x:v>
      </x:c>
      <x:c r="D10" s="23" t="str">
        <x:v>데킬라</x:v>
      </x:c>
      <x:c r="E10" s="23" t="str">
        <x:v>Tequila</x:v>
      </x:c>
      <x:c r="F10" s="23" t="str">
        <x:v>BASE_SPIRIT</x:v>
      </x:c>
      <x:c r="G10" s="28" t="b">
        <x:v>0</x:v>
      </x:c>
      <x:c r="H10" s="23" t="str"/>
      <x:c r="I10" s="23" t="str">
        <x:v>#F0EBDC</x:v>
      </x:c>
      <x:c r="J10" s="23" t="str"/>
      <x:c r="K10" s="23" t="str"/>
      <x:c r="L10" s="23" t="str">
        <x:v>아가베의 태양을 병에 담은 것.</x:v>
      </x:c>
      <x:c r="M10" s="23" t="str">
        <x:v>The agave sun, bottled.</x:v>
      </x:c>
      <x:c r="N10" s="23" t="str">
        <x:v>CONFIRMED</x:v>
      </x:c>
      <x:c r="O10" s="23" t="str"/>
      <x:c r="P10" s="23" t="str">
        <x:f>IF(COUNTIF($A$2:$A$39,A10)=1,"OK","DUPLICATE")</x:f>
        <x:v>OK</x:v>
      </x:c>
      <x:c r="Q10" s="23" t="str">
        <x:f>IF(AND(D10&lt;&gt;"",E10&lt;&gt;"",L10&lt;&gt;"",M10&lt;&gt;""),"OK","MISSING")</x:f>
        <x:v>OK</x:v>
      </x:c>
      <x:c r="R10" s="23" t="str">
        <x:f>IF(OR(G10=FALSE,AND(G10=TRUE,H10&lt;&gt;"")),"OK","MISSING")</x:f>
        <x:v>OK</x:v>
      </x:c>
    </x:row>
    <x:row r="11" ht="54" hidden="0" customHeight="1">
      <x:c r="A11" s="23" t="str">
        <x:v>vodka</x:v>
      </x:c>
      <x:c r="B11" s="23" t="str">
        <x:v>ACTIVE</x:v>
      </x:c>
      <x:c r="C11" s="23" t="n">
        <x:v>1</x:v>
      </x:c>
      <x:c r="D11" s="23" t="str">
        <x:v>보드카</x:v>
      </x:c>
      <x:c r="E11" s="23" t="str">
        <x:v>Vodka</x:v>
      </x:c>
      <x:c r="F11" s="23" t="str">
        <x:v>BASE_SPIRIT</x:v>
      </x:c>
      <x:c r="G11" s="28" t="b">
        <x:v>0</x:v>
      </x:c>
      <x:c r="H11" s="23" t="str"/>
      <x:c r="I11" s="23" t="str">
        <x:v>#F0F5FA</x:v>
      </x:c>
      <x:c r="J11" s="23" t="str"/>
      <x:c r="K11" s="23" t="str"/>
      <x:c r="L11" s="23" t="str">
        <x:v>무색무취. 그래서 어디에나 스며든다.</x:v>
      </x:c>
      <x:c r="M11" s="23" t="str">
        <x:v>Colorless and odorless — that's how it blends in anywhere.</x:v>
      </x:c>
      <x:c r="N11" s="23" t="str">
        <x:v>CONFIRMED</x:v>
      </x:c>
      <x:c r="O11" s="23" t="str"/>
      <x:c r="P11" s="23" t="str">
        <x:f>IF(COUNTIF($A$2:$A$39,A11)=1,"OK","DUPLICATE")</x:f>
        <x:v>OK</x:v>
      </x:c>
      <x:c r="Q11" s="23" t="str">
        <x:f>IF(AND(D11&lt;&gt;"",E11&lt;&gt;"",L11&lt;&gt;"",M11&lt;&gt;""),"OK","MISSING")</x:f>
        <x:v>OK</x:v>
      </x:c>
      <x:c r="R11" s="23" t="str">
        <x:f>IF(OR(G11=FALSE,AND(G11=TRUE,H11&lt;&gt;"")),"OK","MISSING")</x:f>
        <x:v>OK</x:v>
      </x:c>
    </x:row>
    <x:row r="12" ht="43.20000076293945" hidden="0" customHeight="1">
      <x:c r="A12" s="23" t="str">
        <x:v>rum</x:v>
      </x:c>
      <x:c r="B12" s="23" t="str">
        <x:v>ACTIVE</x:v>
      </x:c>
      <x:c r="C12" s="23" t="n">
        <x:v>1</x:v>
      </x:c>
      <x:c r="D12" s="23" t="str">
        <x:v>럼</x:v>
      </x:c>
      <x:c r="E12" s="23" t="str">
        <x:v>Rum</x:v>
      </x:c>
      <x:c r="F12" s="23" t="str">
        <x:v>BASE_SPIRIT</x:v>
      </x:c>
      <x:c r="G12" s="28" t="b">
        <x:v>0</x:v>
      </x:c>
      <x:c r="H12" s="23" t="str"/>
      <x:c r="I12" s="23" t="str">
        <x:v>#B4783C</x:v>
      </x:c>
      <x:c r="J12" s="23" t="str"/>
      <x:c r="K12" s="23" t="str"/>
      <x:c r="L12" s="23" t="str">
        <x:v>사탕수수와 항해의 술.</x:v>
      </x:c>
      <x:c r="M12" s="23" t="str">
        <x:v>The spirit of sugarcane and long voyages.</x:v>
      </x:c>
      <x:c r="N12" s="23" t="str">
        <x:v>CONFIRMED</x:v>
      </x:c>
      <x:c r="O12" s="23" t="str"/>
      <x:c r="P12" s="23" t="str">
        <x:f>IF(COUNTIF($A$2:$A$39,A12)=1,"OK","DUPLICATE")</x:f>
        <x:v>OK</x:v>
      </x:c>
      <x:c r="Q12" s="23" t="str">
        <x:f>IF(AND(D12&lt;&gt;"",E12&lt;&gt;"",L12&lt;&gt;"",M12&lt;&gt;""),"OK","MISSING")</x:f>
        <x:v>OK</x:v>
      </x:c>
      <x:c r="R12" s="23" t="str">
        <x:f>IF(OR(G12=FALSE,AND(G12=TRUE,H12&lt;&gt;"")),"OK","MISSING")</x:f>
        <x:v>OK</x:v>
      </x:c>
    </x:row>
    <x:row r="13" ht="54" hidden="0" customHeight="1">
      <x:c r="A13" s="23" t="str">
        <x:v>orange_juice</x:v>
      </x:c>
      <x:c r="B13" s="23" t="str">
        <x:v>ACTIVE</x:v>
      </x:c>
      <x:c r="C13" s="23" t="n">
        <x:v>1</x:v>
      </x:c>
      <x:c r="D13" s="23" t="str">
        <x:v>오렌지주스</x:v>
      </x:c>
      <x:c r="E13" s="23" t="str">
        <x:v>Orange Juice</x:v>
      </x:c>
      <x:c r="F13" s="23" t="str">
        <x:v>JUICE</x:v>
      </x:c>
      <x:c r="G13" s="28" t="b">
        <x:v>0</x:v>
      </x:c>
      <x:c r="H13" s="23" t="str"/>
      <x:c r="I13" s="23" t="str">
        <x:v>#FDB43C</x:v>
      </x:c>
      <x:c r="J13" s="23" t="str"/>
      <x:c r="K13" s="23" t="str"/>
      <x:c r="L13" s="23" t="str">
        <x:v>아침의 맛. 새벽의 바에서는 위장약.</x:v>
      </x:c>
      <x:c r="M13" s="23" t="str">
        <x:v>The taste of morning. At a bar past midnight, it's medicine.</x:v>
      </x:c>
      <x:c r="N13" s="23" t="str">
        <x:v>CONFIRMED</x:v>
      </x:c>
      <x:c r="O13" s="23" t="str"/>
      <x:c r="P13" s="23" t="str">
        <x:f>IF(COUNTIF($A$2:$A$39,A13)=1,"OK","DUPLICATE")</x:f>
        <x:v>OK</x:v>
      </x:c>
      <x:c r="Q13" s="23" t="str">
        <x:f>IF(AND(D13&lt;&gt;"",E13&lt;&gt;"",L13&lt;&gt;"",M13&lt;&gt;""),"OK","MISSING")</x:f>
        <x:v>OK</x:v>
      </x:c>
      <x:c r="R13" s="23" t="str">
        <x:f>IF(OR(G13=FALSE,AND(G13=TRUE,H13&lt;&gt;"")),"OK","MISSING")</x:f>
        <x:v>OK</x:v>
      </x:c>
    </x:row>
    <x:row r="14" ht="21.600000381469727" hidden="0" customHeight="1">
      <x:c r="A14" s="23" t="str">
        <x:v>ginger_ale</x:v>
      </x:c>
      <x:c r="B14" s="23" t="str">
        <x:v>ACTIVE</x:v>
      </x:c>
      <x:c r="C14" s="23" t="n">
        <x:v>1</x:v>
      </x:c>
      <x:c r="D14" s="23" t="str">
        <x:v>진저에일</x:v>
      </x:c>
      <x:c r="E14" s="23" t="str">
        <x:v>Ginger Ale</x:v>
      </x:c>
      <x:c r="F14" s="23" t="str">
        <x:v>MIXER</x:v>
      </x:c>
      <x:c r="G14" s="28" t="b">
        <x:v>0</x:v>
      </x:c>
      <x:c r="H14" s="23" t="str"/>
      <x:c r="I14" s="23" t="str">
        <x:v>#E6C878</x:v>
      </x:c>
      <x:c r="J14" s="23" t="str"/>
      <x:c r="K14" s="23" t="str"/>
      <x:c r="L14" s="23" t="str">
        <x:v>알싸한 생강 탄산.</x:v>
      </x:c>
      <x:c r="M14" s="23" t="str">
        <x:v>Spicy ginger fizz.</x:v>
      </x:c>
      <x:c r="N14" s="23" t="str">
        <x:v>CONFIRMED</x:v>
      </x:c>
      <x:c r="O14" s="23" t="str"/>
      <x:c r="P14" s="23" t="str">
        <x:f>IF(COUNTIF($A$2:$A$39,A14)=1,"OK","DUPLICATE")</x:f>
        <x:v>OK</x:v>
      </x:c>
      <x:c r="Q14" s="23" t="str">
        <x:f>IF(AND(D14&lt;&gt;"",E14&lt;&gt;"",L14&lt;&gt;"",M14&lt;&gt;""),"OK","MISSING")</x:f>
        <x:v>OK</x:v>
      </x:c>
      <x:c r="R14" s="23" t="str">
        <x:f>IF(OR(G14=FALSE,AND(G14=TRUE,H14&lt;&gt;"")),"OK","MISSING")</x:f>
        <x:v>OK</x:v>
      </x:c>
    </x:row>
    <x:row r="15" ht="54" hidden="0" customHeight="1">
      <x:c r="A15" s="23" t="str">
        <x:v>cola</x:v>
      </x:c>
      <x:c r="B15" s="23" t="str">
        <x:v>ACTIVE</x:v>
      </x:c>
      <x:c r="C15" s="23" t="n">
        <x:v>1</x:v>
      </x:c>
      <x:c r="D15" s="23" t="str">
        <x:v>콜라</x:v>
      </x:c>
      <x:c r="E15" s="23" t="str">
        <x:v>Cola</x:v>
      </x:c>
      <x:c r="F15" s="23" t="str">
        <x:v>MIXER</x:v>
      </x:c>
      <x:c r="G15" s="28" t="b">
        <x:v>0</x:v>
      </x:c>
      <x:c r="H15" s="23" t="str"/>
      <x:c r="I15" s="23" t="str">
        <x:v>#3C1E14</x:v>
      </x:c>
      <x:c r="J15" s="23" t="str"/>
      <x:c r="K15" s="23" t="str"/>
      <x:c r="L15" s="23" t="str">
        <x:v>무엇을 섞어도 콜라 맛이 이긴다. 그게 무기다.</x:v>
      </x:c>
      <x:c r="M15" s="23" t="str">
        <x:v>Mix in anything — cola wins. That's its weapon.</x:v>
      </x:c>
      <x:c r="N15" s="23" t="str">
        <x:v>CONFIRMED</x:v>
      </x:c>
      <x:c r="O15" s="23" t="str"/>
      <x:c r="P15" s="23" t="str">
        <x:f>IF(COUNTIF($A$2:$A$39,A15)=1,"OK","DUPLICATE")</x:f>
        <x:v>OK</x:v>
      </x:c>
      <x:c r="Q15" s="23" t="str">
        <x:f>IF(AND(D15&lt;&gt;"",E15&lt;&gt;"",L15&lt;&gt;"",M15&lt;&gt;""),"OK","MISSING")</x:f>
        <x:v>OK</x:v>
      </x:c>
      <x:c r="R15" s="23" t="str">
        <x:f>IF(OR(G15=FALSE,AND(G15=TRUE,H15&lt;&gt;"")),"OK","MISSING")</x:f>
        <x:v>OK</x:v>
      </x:c>
    </x:row>
    <x:row r="16" ht="54" hidden="0" customHeight="1">
      <x:c r="A16" s="23" t="str">
        <x:v>lime</x:v>
      </x:c>
      <x:c r="B16" s="23" t="str">
        <x:v>ACTIVE</x:v>
      </x:c>
      <x:c r="C16" s="23" t="n">
        <x:v>1</x:v>
      </x:c>
      <x:c r="D16" s="23" t="str">
        <x:v>라임</x:v>
      </x:c>
      <x:c r="E16" s="23" t="str">
        <x:v>Lime</x:v>
      </x:c>
      <x:c r="F16" s="23" t="str">
        <x:v>FRUIT</x:v>
      </x:c>
      <x:c r="G16" s="28" t="b">
        <x:v>0</x:v>
      </x:c>
      <x:c r="H16" s="23" t="str"/>
      <x:c r="I16" s="23" t="str"/>
      <x:c r="J16" s="23" t="str"/>
      <x:c r="K16" s="23" t="str"/>
      <x:c r="L16" s="23" t="str">
        <x:v>스퀴즈용. 레몬보다 한 톤 낮은 산미.</x:v>
      </x:c>
      <x:c r="M16" s="23" t="str">
        <x:v>For squeezing. One tone lower than lemon.</x:v>
      </x:c>
      <x:c r="N16" s="23" t="str">
        <x:v>CONFIRMED</x:v>
      </x:c>
      <x:c r="O16" s="23" t="str"/>
      <x:c r="P16" s="23" t="str">
        <x:f>IF(COUNTIF($A$2:$A$39,A16)=1,"OK","DUPLICATE")</x:f>
        <x:v>OK</x:v>
      </x:c>
      <x:c r="Q16" s="23" t="str">
        <x:f>IF(AND(D16&lt;&gt;"",E16&lt;&gt;"",L16&lt;&gt;"",M16&lt;&gt;""),"OK","MISSING")</x:f>
        <x:v>OK</x:v>
      </x:c>
      <x:c r="R16" s="23" t="str">
        <x:f>IF(OR(G16=FALSE,AND(G16=TRUE,H16&lt;&gt;"")),"OK","MISSING")</x:f>
        <x:v>OK</x:v>
      </x:c>
    </x:row>
    <x:row r="17" ht="54" hidden="0" customHeight="1">
      <x:c r="A17" s="23" t="str">
        <x:v>whiskey</x:v>
      </x:c>
      <x:c r="B17" s="23" t="str">
        <x:v>ACTIVE</x:v>
      </x:c>
      <x:c r="C17" s="23" t="n">
        <x:v>2</x:v>
      </x:c>
      <x:c r="D17" s="23" t="str">
        <x:v>위스키</x:v>
      </x:c>
      <x:c r="E17" s="23" t="str">
        <x:v>Whiskey</x:v>
      </x:c>
      <x:c r="F17" s="23" t="str">
        <x:v>BASE_SPIRIT</x:v>
      </x:c>
      <x:c r="G17" s="28" t="b">
        <x:v>0</x:v>
      </x:c>
      <x:c r="H17" s="23" t="str"/>
      <x:c r="I17" s="23" t="str">
        <x:v>#BE7828</x:v>
      </x:c>
      <x:c r="J17" s="23" t="str"/>
      <x:c r="K17" s="23" t="str"/>
      <x:c r="L17" s="23" t="str">
        <x:v>오크통에서 잠들었다 깨어난 시간.</x:v>
      </x:c>
      <x:c r="M17" s="23" t="str">
        <x:v>Time that slept in an oak barrel and woke up.</x:v>
      </x:c>
      <x:c r="N17" s="23" t="str">
        <x:v>CONFIRMED</x:v>
      </x:c>
      <x:c r="O17" s="23" t="str"/>
      <x:c r="P17" s="23" t="str">
        <x:f>IF(COUNTIF($A$2:$A$39,A17)=1,"OK","DUPLICATE")</x:f>
        <x:v>OK</x:v>
      </x:c>
      <x:c r="Q17" s="23" t="str">
        <x:f>IF(AND(D17&lt;&gt;"",E17&lt;&gt;"",L17&lt;&gt;"",M17&lt;&gt;""),"OK","MISSING")</x:f>
        <x:v>OK</x:v>
      </x:c>
      <x:c r="R17" s="23" t="str">
        <x:f>IF(OR(G17=FALSE,AND(G17=TRUE,H17&lt;&gt;"")),"OK","MISSING")</x:f>
        <x:v>OK</x:v>
      </x:c>
    </x:row>
    <x:row r="18" ht="43.20000076293945" hidden="0" customHeight="1">
      <x:c r="A18" s="23" t="str">
        <x:v>dry_vermouth</x:v>
      </x:c>
      <x:c r="B18" s="23" t="str">
        <x:v>ACTIVE</x:v>
      </x:c>
      <x:c r="C18" s="23" t="n">
        <x:v>2</x:v>
      </x:c>
      <x:c r="D18" s="23" t="str">
        <x:v>드라이 버무스</x:v>
      </x:c>
      <x:c r="E18" s="23" t="str">
        <x:v>Dry Vermouth</x:v>
      </x:c>
      <x:c r="F18" s="23" t="str">
        <x:v>LIQUEUR</x:v>
      </x:c>
      <x:c r="G18" s="28" t="b">
        <x:v>0</x:v>
      </x:c>
      <x:c r="H18" s="23" t="str"/>
      <x:c r="I18" s="23" t="str">
        <x:v>#DCDCBE</x:v>
      </x:c>
      <x:c r="J18" s="23" t="str"/>
      <x:c r="K18" s="23" t="str"/>
      <x:c r="L18" s="23" t="str">
        <x:v>마티니를 마티니로 만드는 한 방울.</x:v>
      </x:c>
      <x:c r="M18" s="23" t="str">
        <x:v>The one drop that makes a martini a martini.</x:v>
      </x:c>
      <x:c r="N18" s="23" t="str">
        <x:v>CONFIRMED</x:v>
      </x:c>
      <x:c r="O18" s="23" t="str"/>
      <x:c r="P18" s="23" t="str">
        <x:f>IF(COUNTIF($A$2:$A$39,A18)=1,"OK","DUPLICATE")</x:f>
        <x:v>OK</x:v>
      </x:c>
      <x:c r="Q18" s="23" t="str">
        <x:f>IF(AND(D18&lt;&gt;"",E18&lt;&gt;"",L18&lt;&gt;"",M18&lt;&gt;""),"OK","MISSING")</x:f>
        <x:v>OK</x:v>
      </x:c>
      <x:c r="R18" s="23" t="str">
        <x:f>IF(OR(G18=FALSE,AND(G18=TRUE,H18&lt;&gt;"")),"OK","MISSING")</x:f>
        <x:v>OK</x:v>
      </x:c>
    </x:row>
    <x:row r="19" ht="43.20000076293945" hidden="0" customHeight="1">
      <x:c r="A19" s="23" t="str">
        <x:v>grenadine</x:v>
      </x:c>
      <x:c r="B19" s="23" t="str">
        <x:v>ACTIVE</x:v>
      </x:c>
      <x:c r="C19" s="23" t="n">
        <x:v>2</x:v>
      </x:c>
      <x:c r="D19" s="23" t="str">
        <x:v>그레나딘</x:v>
      </x:c>
      <x:c r="E19" s="23" t="str">
        <x:v>Grenadine</x:v>
      </x:c>
      <x:c r="F19" s="23" t="str">
        <x:v>SYRUP</x:v>
      </x:c>
      <x:c r="G19" s="28" t="b">
        <x:v>0</x:v>
      </x:c>
      <x:c r="H19" s="23" t="str"/>
      <x:c r="I19" s="23" t="str">
        <x:v>#B41E32</x:v>
      </x:c>
      <x:c r="J19" s="23" t="str"/>
      <x:c r="K19" s="23" t="str"/>
      <x:c r="L19" s="23" t="str">
        <x:v>석류빛 붉은 시럽. 노을 담당.</x:v>
      </x:c>
      <x:c r="M19" s="23" t="str">
        <x:v>Pomegranate-red syrup. In charge of sunsets.</x:v>
      </x:c>
      <x:c r="N19" s="23" t="str">
        <x:v>CONFIRMED</x:v>
      </x:c>
      <x:c r="O19" s="23" t="str"/>
      <x:c r="P19" s="23" t="str">
        <x:f>IF(COUNTIF($A$2:$A$39,A19)=1,"OK","DUPLICATE")</x:f>
        <x:v>OK</x:v>
      </x:c>
      <x:c r="Q19" s="23" t="str">
        <x:f>IF(AND(D19&lt;&gt;"",E19&lt;&gt;"",L19&lt;&gt;"",M19&lt;&gt;""),"OK","MISSING")</x:f>
        <x:v>OK</x:v>
      </x:c>
      <x:c r="R19" s="23" t="str">
        <x:f>IF(OR(G19=FALSE,AND(G19=TRUE,H19&lt;&gt;"")),"OK","MISSING")</x:f>
        <x:v>OK</x:v>
      </x:c>
    </x:row>
    <x:row r="20" ht="21.600000381469727" hidden="0" customHeight="1">
      <x:c r="A20" s="23" t="str">
        <x:v>sour_mix</x:v>
      </x:c>
      <x:c r="B20" s="23" t="str">
        <x:v>ACTIVE</x:v>
      </x:c>
      <x:c r="C20" s="23" t="n">
        <x:v>2</x:v>
      </x:c>
      <x:c r="D20" s="23" t="str">
        <x:v>사워믹스</x:v>
      </x:c>
      <x:c r="E20" s="23" t="str">
        <x:v>Sour Mix</x:v>
      </x:c>
      <x:c r="F20" s="23" t="str">
        <x:v>MIXER</x:v>
      </x:c>
      <x:c r="G20" s="28" t="b">
        <x:v>0</x:v>
      </x:c>
      <x:c r="H20" s="23" t="str"/>
      <x:c r="I20" s="23" t="str">
        <x:v>#E6DCA0</x:v>
      </x:c>
      <x:c r="J20" s="23" t="str"/>
      <x:c r="K20" s="23" t="str"/>
      <x:c r="L20" s="23" t="str">
        <x:v>새콤한 필업 베이스.</x:v>
      </x:c>
      <x:c r="M20" s="23" t="str">
        <x:v>A tangy fill-up base.</x:v>
      </x:c>
      <x:c r="N20" s="23" t="str">
        <x:v>CONFIRMED</x:v>
      </x:c>
      <x:c r="O20" s="23" t="str"/>
      <x:c r="P20" s="23" t="str">
        <x:f>IF(COUNTIF($A$2:$A$39,A20)=1,"OK","DUPLICATE")</x:f>
        <x:v>OK</x:v>
      </x:c>
      <x:c r="Q20" s="23" t="str">
        <x:f>IF(AND(D20&lt;&gt;"",E20&lt;&gt;"",L20&lt;&gt;"",M20&lt;&gt;""),"OK","MISSING")</x:f>
        <x:v>OK</x:v>
      </x:c>
      <x:c r="R20" s="23" t="str">
        <x:f>IF(OR(G20=FALSE,AND(G20=TRUE,H20&lt;&gt;"")),"OK","MISSING")</x:f>
        <x:v>OK</x:v>
      </x:c>
    </x:row>
    <x:row r="21" ht="43.20000076293945" hidden="0" customHeight="1">
      <x:c r="A21" s="23" t="str">
        <x:v>cointreau</x:v>
      </x:c>
      <x:c r="B21" s="23" t="str">
        <x:v>ACTIVE</x:v>
      </x:c>
      <x:c r="C21" s="23" t="n">
        <x:v>3</x:v>
      </x:c>
      <x:c r="D21" s="23" t="str">
        <x:v>쿠앵트로</x:v>
      </x:c>
      <x:c r="E21" s="23" t="str">
        <x:v>Cointreau</x:v>
      </x:c>
      <x:c r="F21" s="23" t="str">
        <x:v>LIQUEUR</x:v>
      </x:c>
      <x:c r="G21" s="28" t="b">
        <x:v>0</x:v>
      </x:c>
      <x:c r="H21" s="23" t="str"/>
      <x:c r="I21" s="23" t="str">
        <x:v>#EBC88C</x:v>
      </x:c>
      <x:c r="J21" s="23" t="str"/>
      <x:c r="K21" s="23" t="str"/>
      <x:c r="L21" s="23" t="str">
        <x:v>오렌지 리큐르의 귀족.</x:v>
      </x:c>
      <x:c r="M21" s="23" t="str">
        <x:v>The aristocrat of orange liqueurs.</x:v>
      </x:c>
      <x:c r="N21" s="23" t="str">
        <x:v>CONFIRMED</x:v>
      </x:c>
      <x:c r="O21" s="23" t="str"/>
      <x:c r="P21" s="23" t="str">
        <x:f>IF(COUNTIF($A$2:$A$39,A21)=1,"OK","DUPLICATE")</x:f>
        <x:v>OK</x:v>
      </x:c>
      <x:c r="Q21" s="23" t="str">
        <x:f>IF(AND(D21&lt;&gt;"",E21&lt;&gt;"",L21&lt;&gt;"",M21&lt;&gt;""),"OK","MISSING")</x:f>
        <x:v>OK</x:v>
      </x:c>
      <x:c r="R21" s="23" t="str">
        <x:f>IF(OR(G21=FALSE,AND(G21=TRUE,H21&lt;&gt;"")),"OK","MISSING")</x:f>
        <x:v>OK</x:v>
      </x:c>
    </x:row>
    <x:row r="22" ht="43.20000076293945" hidden="0" customHeight="1">
      <x:c r="A22" s="23" t="str">
        <x:v>cranberry_juice</x:v>
      </x:c>
      <x:c r="B22" s="23" t="str">
        <x:v>ACTIVE</x:v>
      </x:c>
      <x:c r="C22" s="23" t="n">
        <x:v>3</x:v>
      </x:c>
      <x:c r="D22" s="23" t="str">
        <x:v>크랜베리주스</x:v>
      </x:c>
      <x:c r="E22" s="23" t="str">
        <x:v>Cranberry Juice</x:v>
      </x:c>
      <x:c r="F22" s="23" t="str">
        <x:v>JUICE</x:v>
      </x:c>
      <x:c r="G22" s="28" t="b">
        <x:v>0</x:v>
      </x:c>
      <x:c r="H22" s="23" t="str"/>
      <x:c r="I22" s="23" t="str">
        <x:v>#AA1E3C</x:v>
      </x:c>
      <x:c r="J22" s="23" t="str"/>
      <x:c r="K22" s="23" t="str"/>
      <x:c r="L22" s="23" t="str">
        <x:v>붉고 떫고 세련된 맛.</x:v>
      </x:c>
      <x:c r="M22" s="23" t="str">
        <x:v>Red, tart, and sophisticated.</x:v>
      </x:c>
      <x:c r="N22" s="23" t="str">
        <x:v>CONFIRMED</x:v>
      </x:c>
      <x:c r="O22" s="23" t="str"/>
      <x:c r="P22" s="23" t="str">
        <x:f>IF(COUNTIF($A$2:$A$39,A22)=1,"OK","DUPLICATE")</x:f>
        <x:v>OK</x:v>
      </x:c>
      <x:c r="Q22" s="23" t="str">
        <x:f>IF(AND(D22&lt;&gt;"",E22&lt;&gt;"",L22&lt;&gt;"",M22&lt;&gt;""),"OK","MISSING")</x:f>
        <x:v>OK</x:v>
      </x:c>
      <x:c r="R22" s="23" t="str">
        <x:f>IF(OR(G22=FALSE,AND(G22=TRUE,H22&lt;&gt;"")),"OK","MISSING")</x:f>
        <x:v>OK</x:v>
      </x:c>
    </x:row>
    <x:row r="23" ht="43.20000076293945" hidden="0" customHeight="1">
      <x:c r="A23" s="23" t="str">
        <x:v>triple_sec</x:v>
      </x:c>
      <x:c r="B23" s="23" t="str">
        <x:v>ACTIVE</x:v>
      </x:c>
      <x:c r="C23" s="23" t="n">
        <x:v>4</x:v>
      </x:c>
      <x:c r="D23" s="23" t="str">
        <x:v>트리플섹</x:v>
      </x:c>
      <x:c r="E23" s="23" t="str">
        <x:v>Triple Sec</x:v>
      </x:c>
      <x:c r="F23" s="23" t="str">
        <x:v>LIQUEUR</x:v>
      </x:c>
      <x:c r="G23" s="28" t="b">
        <x:v>0</x:v>
      </x:c>
      <x:c r="H23" s="23" t="str"/>
      <x:c r="I23" s="23" t="str">
        <x:v>#EBE1C8</x:v>
      </x:c>
      <x:c r="J23" s="23" t="str"/>
      <x:c r="K23" s="23" t="str"/>
      <x:c r="L23" s="23" t="str">
        <x:v>오렌지 리큐르의 실용주의자.</x:v>
      </x:c>
      <x:c r="M23" s="23" t="str">
        <x:v>The pragmatist of orange liqueurs.</x:v>
      </x:c>
      <x:c r="N23" s="23" t="str">
        <x:v>CONFIRMED</x:v>
      </x:c>
      <x:c r="O23" s="23" t="str"/>
      <x:c r="P23" s="23" t="str">
        <x:f>IF(COUNTIF($A$2:$A$39,A23)=1,"OK","DUPLICATE")</x:f>
        <x:v>OK</x:v>
      </x:c>
      <x:c r="Q23" s="23" t="str">
        <x:f>IF(AND(D23&lt;&gt;"",E23&lt;&gt;"",L23&lt;&gt;"",M23&lt;&gt;""),"OK","MISSING")</x:f>
        <x:v>OK</x:v>
      </x:c>
      <x:c r="R23" s="23" t="str">
        <x:f>IF(OR(G23=FALSE,AND(G23=TRUE,H23&lt;&gt;"")),"OK","MISSING")</x:f>
        <x:v>OK</x:v>
      </x:c>
    </x:row>
    <x:row r="24" ht="32.400001525878906" hidden="0" customHeight="1">
      <x:c r="A24" s="23" t="str">
        <x:v>kahlua</x:v>
      </x:c>
      <x:c r="B24" s="23" t="str">
        <x:v>ACTIVE</x:v>
      </x:c>
      <x:c r="C24" s="23" t="n">
        <x:v>4</x:v>
      </x:c>
      <x:c r="D24" s="23" t="str">
        <x:v>칼루아</x:v>
      </x:c>
      <x:c r="E24" s="23" t="str">
        <x:v>Kahlua</x:v>
      </x:c>
      <x:c r="F24" s="23" t="str">
        <x:v>LIQUEUR</x:v>
      </x:c>
      <x:c r="G24" s="28" t="b">
        <x:v>0</x:v>
      </x:c>
      <x:c r="H24" s="23" t="str"/>
      <x:c r="I24" s="23" t="str">
        <x:v>#3C2319</x:v>
      </x:c>
      <x:c r="J24" s="23" t="str"/>
      <x:c r="K24" s="23" t="str"/>
      <x:c r="L24" s="23" t="str">
        <x:v>커피를 술로 번역한 것.</x:v>
      </x:c>
      <x:c r="M24" s="23" t="str">
        <x:v>Coffee, translated into liquor.</x:v>
      </x:c>
      <x:c r="N24" s="23" t="str">
        <x:v>CONFIRMED</x:v>
      </x:c>
      <x:c r="O24" s="23" t="str"/>
      <x:c r="P24" s="23" t="str">
        <x:f>IF(COUNTIF($A$2:$A$39,A24)=1,"OK","DUPLICATE")</x:f>
        <x:v>OK</x:v>
      </x:c>
      <x:c r="Q24" s="23" t="str">
        <x:f>IF(AND(D24&lt;&gt;"",E24&lt;&gt;"",L24&lt;&gt;"",M24&lt;&gt;""),"OK","MISSING")</x:f>
        <x:v>OK</x:v>
      </x:c>
      <x:c r="R24" s="23" t="str">
        <x:f>IF(OR(G24=FALSE,AND(G24=TRUE,H24&lt;&gt;"")),"OK","MISSING")</x:f>
        <x:v>OK</x:v>
      </x:c>
    </x:row>
    <x:row r="25" ht="43.20000076293945" hidden="0" customHeight="1">
      <x:c r="A25" s="23" t="str">
        <x:v>milk</x:v>
      </x:c>
      <x:c r="B25" s="23" t="str">
        <x:v>ACTIVE</x:v>
      </x:c>
      <x:c r="C25" s="23" t="n">
        <x:v>4</x:v>
      </x:c>
      <x:c r="D25" s="23" t="str">
        <x:v>우유</x:v>
      </x:c>
      <x:c r="E25" s="23" t="str">
        <x:v>Milk</x:v>
      </x:c>
      <x:c r="F25" s="23" t="str">
        <x:v>DAIRY</x:v>
      </x:c>
      <x:c r="G25" s="28" t="b">
        <x:v>0</x:v>
      </x:c>
      <x:c r="H25" s="23" t="str"/>
      <x:c r="I25" s="23" t="str">
        <x:v>#F5F5F0</x:v>
      </x:c>
      <x:c r="J25" s="23" t="str"/>
      <x:c r="K25" s="23" t="str"/>
      <x:c r="L25" s="23" t="str">
        <x:v>고양이와 초보 손님의 선택.</x:v>
      </x:c>
      <x:c r="M25" s="23" t="str">
        <x:v>The choice of cats and cautious customers.</x:v>
      </x:c>
      <x:c r="N25" s="23" t="str">
        <x:v>CONFIRMED</x:v>
      </x:c>
      <x:c r="O25" s="23" t="str"/>
      <x:c r="P25" s="23" t="str">
        <x:f>IF(COUNTIF($A$2:$A$39,A25)=1,"OK","DUPLICATE")</x:f>
        <x:v>OK</x:v>
      </x:c>
      <x:c r="Q25" s="23" t="str">
        <x:f>IF(AND(D25&lt;&gt;"",E25&lt;&gt;"",L25&lt;&gt;"",M25&lt;&gt;""),"OK","MISSING")</x:f>
        <x:v>OK</x:v>
      </x:c>
      <x:c r="R25" s="23" t="str">
        <x:f>IF(OR(G25=FALSE,AND(G25=TRUE,H25&lt;&gt;"")),"OK","MISSING")</x:f>
        <x:v>OK</x:v>
      </x:c>
    </x:row>
    <x:row r="26" ht="54" hidden="0" customHeight="1">
      <x:c r="A26" s="23" t="str">
        <x:v>brandy</x:v>
      </x:c>
      <x:c r="B26" s="23" t="str">
        <x:v>ACTIVE</x:v>
      </x:c>
      <x:c r="C26" s="23" t="n">
        <x:v>5</x:v>
      </x:c>
      <x:c r="D26" s="23" t="str">
        <x:v>브랜디</x:v>
      </x:c>
      <x:c r="E26" s="23" t="str">
        <x:v>Brandy</x:v>
      </x:c>
      <x:c r="F26" s="23" t="str">
        <x:v>BASE_SPIRIT</x:v>
      </x:c>
      <x:c r="G26" s="28" t="b">
        <x:v>0</x:v>
      </x:c>
      <x:c r="H26" s="23" t="str"/>
      <x:c r="I26" s="23" t="str">
        <x:v>#AA5A23</x:v>
      </x:c>
      <x:c r="J26" s="23" t="str"/>
      <x:c r="K26" s="23" t="str"/>
      <x:c r="L26" s="23" t="str">
        <x:v>와인을 증류해 숙성한, 따뜻하고 깊은 향의 증류주.</x:v>
      </x:c>
      <x:c r="M26" s="23" t="str">
        <x:v>A wine spirit distilled and aged for a warm, deep aroma.</x:v>
      </x:c>
      <x:c r="N26" s="23" t="str">
        <x:v>NEEDS_ASSET</x:v>
      </x:c>
      <x:c r="O26" s="23" t="str">
        <x:v>29종 신규 재료: 역할/색상 검토 필요</x:v>
      </x:c>
      <x:c r="P26" s="23" t="str">
        <x:f>IF(COUNTIF($A$2:$A$39,A26)=1,"OK","DUPLICATE")</x:f>
        <x:v>OK</x:v>
      </x:c>
      <x:c r="Q26" s="23" t="str">
        <x:f>IF(AND(D26&lt;&gt;"",E26&lt;&gt;"",L26&lt;&gt;"",M26&lt;&gt;""),"OK","MISSING")</x:f>
        <x:v>OK</x:v>
      </x:c>
      <x:c r="R26" s="23" t="str">
        <x:f>IF(OR(G26=FALSE,AND(G26=TRUE,H26&lt;&gt;"")),"OK","MISSING")</x:f>
        <x:v>OK</x:v>
      </x:c>
    </x:row>
    <x:row r="27" ht="54" hidden="0" customHeight="1">
      <x:c r="A27" s="23" t="str">
        <x:v>amaretto</x:v>
      </x:c>
      <x:c r="B27" s="23" t="str">
        <x:v>ACTIVE</x:v>
      </x:c>
      <x:c r="C27" s="23" t="n">
        <x:v>5</x:v>
      </x:c>
      <x:c r="D27" s="23" t="str">
        <x:v>아마레토</x:v>
      </x:c>
      <x:c r="E27" s="23" t="str">
        <x:v>Amaretto</x:v>
      </x:c>
      <x:c r="F27" s="23" t="str">
        <x:v>LIQUEUR</x:v>
      </x:c>
      <x:c r="G27" s="28" t="b">
        <x:v>0</x:v>
      </x:c>
      <x:c r="H27" s="23" t="str"/>
      <x:c r="I27" s="23" t="str">
        <x:v>#874B23</x:v>
      </x:c>
      <x:c r="J27" s="23" t="str"/>
      <x:c r="K27" s="23" t="str"/>
      <x:c r="L27" s="23" t="str">
        <x:v>아몬드를 떠올리게 하는 부드럽고 달콤한 리큐르.</x:v>
      </x:c>
      <x:c r="M27" s="23" t="str">
        <x:v>A smooth, sweet liqueur with an almond-like aroma.</x:v>
      </x:c>
      <x:c r="N27" s="23" t="str">
        <x:v>NEEDS_ASSET</x:v>
      </x:c>
      <x:c r="O27" s="23" t="str">
        <x:v>29종 신규 재료: 역할/색상 검토 필요</x:v>
      </x:c>
      <x:c r="P27" s="23" t="str">
        <x:f>IF(COUNTIF($A$2:$A$39,A27)=1,"OK","DUPLICATE")</x:f>
        <x:v>OK</x:v>
      </x:c>
      <x:c r="Q27" s="23" t="str">
        <x:f>IF(AND(D27&lt;&gt;"",E27&lt;&gt;"",L27&lt;&gt;"",M27&lt;&gt;""),"OK","MISSING")</x:f>
        <x:v>OK</x:v>
      </x:c>
      <x:c r="R27" s="23" t="str">
        <x:f>IF(OR(G27=FALSE,AND(G27=TRUE,H27&lt;&gt;"")),"OK","MISSING")</x:f>
        <x:v>OK</x:v>
      </x:c>
    </x:row>
    <x:row r="28" ht="54" hidden="0" customHeight="1">
      <x:c r="A28" s="23" t="str">
        <x:v>campari</x:v>
      </x:c>
      <x:c r="B28" s="23" t="str">
        <x:v>ACTIVE</x:v>
      </x:c>
      <x:c r="C28" s="23" t="n">
        <x:v>7</x:v>
      </x:c>
      <x:c r="D28" s="23" t="str">
        <x:v>캄파리</x:v>
      </x:c>
      <x:c r="E28" s="23" t="str">
        <x:v>Campari</x:v>
      </x:c>
      <x:c r="F28" s="23" t="str">
        <x:v>LIQUEUR</x:v>
      </x:c>
      <x:c r="G28" s="28" t="b">
        <x:v>0</x:v>
      </x:c>
      <x:c r="H28" s="23" t="str"/>
      <x:c r="I28" s="23" t="str">
        <x:v>#C82D2D</x:v>
      </x:c>
      <x:c r="J28" s="23" t="str"/>
      <x:c r="K28" s="23" t="str"/>
      <x:c r="L28" s="23" t="str">
        <x:v>선명한 붉은색과 강한 쓴맛을 지닌 비터 리큐르.</x:v>
      </x:c>
      <x:c r="M28" s="23" t="str">
        <x:v>A vivid red bitter liqueur with a pronounced herbal bite.</x:v>
      </x:c>
      <x:c r="N28" s="23" t="str">
        <x:v>NEEDS_ASSET</x:v>
      </x:c>
      <x:c r="O28" s="23" t="str">
        <x:v>29종 신규 재료: 역할/색상 검토 필요</x:v>
      </x:c>
      <x:c r="P28" s="23" t="str">
        <x:f>IF(COUNTIF($A$2:$A$39,A28)=1,"OK","DUPLICATE")</x:f>
        <x:v>OK</x:v>
      </x:c>
      <x:c r="Q28" s="23" t="str">
        <x:f>IF(AND(D28&lt;&gt;"",E28&lt;&gt;"",L28&lt;&gt;"",M28&lt;&gt;""),"OK","MISSING")</x:f>
        <x:v>OK</x:v>
      </x:c>
      <x:c r="R28" s="23" t="str">
        <x:f>IF(OR(G28=FALSE,AND(G28=TRUE,H28&lt;&gt;"")),"OK","MISSING")</x:f>
        <x:v>OK</x:v>
      </x:c>
    </x:row>
    <x:row r="29" ht="75.5999984741211" hidden="0" customHeight="1">
      <x:c r="A29" s="23" t="str">
        <x:v>blue_curacao</x:v>
      </x:c>
      <x:c r="B29" s="23" t="str">
        <x:v>ACTIVE</x:v>
      </x:c>
      <x:c r="C29" s="23" t="n">
        <x:v>7</x:v>
      </x:c>
      <x:c r="D29" s="23" t="str">
        <x:v>블루큐라소</x:v>
      </x:c>
      <x:c r="E29" s="23" t="str">
        <x:v>Blue Curaçao</x:v>
      </x:c>
      <x:c r="F29" s="23" t="str">
        <x:v>LIQUEUR</x:v>
      </x:c>
      <x:c r="G29" s="28" t="b">
        <x:v>0</x:v>
      </x:c>
      <x:c r="H29" s="23" t="str"/>
      <x:c r="I29" s="23" t="str">
        <x:v>#0091C8</x:v>
      </x:c>
      <x:c r="J29" s="23" t="str"/>
      <x:c r="K29" s="23" t="str"/>
      <x:c r="L29" s="23" t="str">
        <x:v>오렌지 향과 푸른색으로 잔의 인상을 바꾸는 리큐르.</x:v>
      </x:c>
      <x:c r="M29" s="23" t="str">
        <x:v>An orange-flavored blue liqueur that transforms a drink's appearance.</x:v>
      </x:c>
      <x:c r="N29" s="23" t="str">
        <x:v>NEEDS_ASSET</x:v>
      </x:c>
      <x:c r="O29" s="23" t="str">
        <x:v>29종 신규 재료: 역할/색상 검토 필요</x:v>
      </x:c>
      <x:c r="P29" s="23" t="str">
        <x:f>IF(COUNTIF($A$2:$A$39,A29)=1,"OK","DUPLICATE")</x:f>
        <x:v>OK</x:v>
      </x:c>
      <x:c r="Q29" s="23" t="str">
        <x:f>IF(AND(D29&lt;&gt;"",E29&lt;&gt;"",L29&lt;&gt;"",M29&lt;&gt;""),"OK","MISSING")</x:f>
        <x:v>OK</x:v>
      </x:c>
      <x:c r="R29" s="23" t="str">
        <x:f>IF(OR(G29=FALSE,AND(G29=TRUE,H29&lt;&gt;"")),"OK","MISSING")</x:f>
        <x:v>OK</x:v>
      </x:c>
    </x:row>
    <x:row r="30" ht="64.80000305175781" hidden="0" customHeight="1">
      <x:c r="A30" s="23" t="str">
        <x:v>malibu</x:v>
      </x:c>
      <x:c r="B30" s="23" t="str">
        <x:v>ACTIVE</x:v>
      </x:c>
      <x:c r="C30" s="23" t="n">
        <x:v>9</x:v>
      </x:c>
      <x:c r="D30" s="23" t="str">
        <x:v>말리부</x:v>
      </x:c>
      <x:c r="E30" s="23" t="str">
        <x:v>Malibu</x:v>
      </x:c>
      <x:c r="F30" s="23" t="str">
        <x:v>LIQUEUR</x:v>
      </x:c>
      <x:c r="G30" s="28" t="b">
        <x:v>0</x:v>
      </x:c>
      <x:c r="H30" s="23" t="str"/>
      <x:c r="I30" s="23" t="str">
        <x:v>#F2EEDC</x:v>
      </x:c>
      <x:c r="J30" s="23" t="str"/>
      <x:c r="K30" s="23" t="str"/>
      <x:c r="L30" s="23" t="str">
        <x:v>코코넛 향이 선명한 달콤한 럼 베이스 리큐르.</x:v>
      </x:c>
      <x:c r="M30" s="23" t="str">
        <x:v>A sweet rum-based liqueur with a distinct coconut aroma.</x:v>
      </x:c>
      <x:c r="N30" s="23" t="str">
        <x:v>NEEDS_ASSET</x:v>
      </x:c>
      <x:c r="O30" s="23" t="str">
        <x:v>29종 신규 재료: 역할/색상 검토 필요</x:v>
      </x:c>
      <x:c r="P30" s="23" t="str">
        <x:f>IF(COUNTIF($A$2:$A$39,A30)=1,"OK","DUPLICATE")</x:f>
        <x:v>OK</x:v>
      </x:c>
      <x:c r="Q30" s="23" t="str">
        <x:f>IF(AND(D30&lt;&gt;"",E30&lt;&gt;"",L30&lt;&gt;"",M30&lt;&gt;""),"OK","MISSING")</x:f>
        <x:v>OK</x:v>
      </x:c>
      <x:c r="R30" s="23" t="str">
        <x:f>IF(OR(G30=FALSE,AND(G30=TRUE,H30&lt;&gt;"")),"OK","MISSING")</x:f>
        <x:v>OK</x:v>
      </x:c>
    </x:row>
    <x:row r="31" ht="64.80000305175781" hidden="0" customHeight="1">
      <x:c r="A31" s="23" t="str">
        <x:v>melon_liqueur</x:v>
      </x:c>
      <x:c r="B31" s="23" t="str">
        <x:v>ACTIVE</x:v>
      </x:c>
      <x:c r="C31" s="23" t="n">
        <x:v>9</x:v>
      </x:c>
      <x:c r="D31" s="23" t="str">
        <x:v>멜론리큐르</x:v>
      </x:c>
      <x:c r="E31" s="23" t="str">
        <x:v>Melon Liqueur</x:v>
      </x:c>
      <x:c r="F31" s="23" t="str">
        <x:v>LIQUEUR</x:v>
      </x:c>
      <x:c r="G31" s="28" t="b">
        <x:v>0</x:v>
      </x:c>
      <x:c r="H31" s="23" t="str"/>
      <x:c r="I31" s="23" t="str">
        <x:v>#82BE37</x:v>
      </x:c>
      <x:c r="J31" s="23" t="str"/>
      <x:c r="K31" s="23" t="str"/>
      <x:c r="L31" s="23" t="str">
        <x:v>달콤한 멜론 향과 초록빛을 더하는 리큐르.</x:v>
      </x:c>
      <x:c r="M31" s="23" t="str">
        <x:v>A sweet green liqueur with a pronounced melon aroma.</x:v>
      </x:c>
      <x:c r="N31" s="23" t="str">
        <x:v>NEEDS_ASSET</x:v>
      </x:c>
      <x:c r="O31" s="23" t="str">
        <x:v>29종 신규 재료: 역할/색상 검토 필요</x:v>
      </x:c>
      <x:c r="P31" s="23" t="str">
        <x:f>IF(COUNTIF($A$2:$A$39,A31)=1,"OK","DUPLICATE")</x:f>
        <x:v>OK</x:v>
      </x:c>
      <x:c r="Q31" s="23" t="str">
        <x:f>IF(AND(D31&lt;&gt;"",E31&lt;&gt;"",L31&lt;&gt;"",M31&lt;&gt;""),"OK","MISSING")</x:f>
        <x:v>OK</x:v>
      </x:c>
      <x:c r="R31" s="23" t="str">
        <x:f>IF(OR(G31=FALSE,AND(G31=TRUE,H31&lt;&gt;"")),"OK","MISSING")</x:f>
        <x:v>OK</x:v>
      </x:c>
    </x:row>
    <x:row r="32" ht="54" hidden="0" customHeight="1">
      <x:c r="A32" s="23" t="str">
        <x:v>banana_liqueur</x:v>
      </x:c>
      <x:c r="B32" s="23" t="str">
        <x:v>ACTIVE</x:v>
      </x:c>
      <x:c r="C32" s="23" t="n">
        <x:v>9</x:v>
      </x:c>
      <x:c r="D32" s="23" t="str">
        <x:v>바나나리큐르</x:v>
      </x:c>
      <x:c r="E32" s="23" t="str">
        <x:v>Banana Liqueur</x:v>
      </x:c>
      <x:c r="F32" s="23" t="str">
        <x:v>LIQUEUR</x:v>
      </x:c>
      <x:c r="G32" s="28" t="b">
        <x:v>0</x:v>
      </x:c>
      <x:c r="H32" s="23" t="str"/>
      <x:c r="I32" s="23" t="str">
        <x:v>#EBCD41</x:v>
      </x:c>
      <x:c r="J32" s="23" t="str"/>
      <x:c r="K32" s="23" t="str"/>
      <x:c r="L32" s="23" t="str">
        <x:v>익은 바나나의 달콤한 향을 더하는 리큐르.</x:v>
      </x:c>
      <x:c r="M32" s="23" t="str">
        <x:v>A sweet liqueur that adds the aroma of ripe banana.</x:v>
      </x:c>
      <x:c r="N32" s="23" t="str">
        <x:v>NEEDS_ASSET</x:v>
      </x:c>
      <x:c r="O32" s="23" t="str">
        <x:v>29종 신규 재료: 역할/색상 검토 필요</x:v>
      </x:c>
      <x:c r="P32" s="23" t="str">
        <x:f>IF(COUNTIF($A$2:$A$39,A32)=1,"OK","DUPLICATE")</x:f>
        <x:v>OK</x:v>
      </x:c>
      <x:c r="Q32" s="23" t="str">
        <x:f>IF(AND(D32&lt;&gt;"",E32&lt;&gt;"",L32&lt;&gt;"",M32&lt;&gt;""),"OK","MISSING")</x:f>
        <x:v>OK</x:v>
      </x:c>
      <x:c r="R32" s="23" t="str">
        <x:f>IF(OR(G32=FALSE,AND(G32=TRUE,H32&lt;&gt;"")),"OK","MISSING")</x:f>
        <x:v>OK</x:v>
      </x:c>
    </x:row>
    <x:row r="33" ht="54" hidden="0" customHeight="1">
      <x:c r="A33" s="23" t="str">
        <x:v>peach_brandy</x:v>
      </x:c>
      <x:c r="B33" s="23" t="str">
        <x:v>ACTIVE</x:v>
      </x:c>
      <x:c r="C33" s="23" t="n">
        <x:v>8</x:v>
      </x:c>
      <x:c r="D33" s="23" t="str">
        <x:v>피치브랜디</x:v>
      </x:c>
      <x:c r="E33" s="23" t="str">
        <x:v>Peach Brandy</x:v>
      </x:c>
      <x:c r="F33" s="23" t="str">
        <x:v>LIQUEUR</x:v>
      </x:c>
      <x:c r="G33" s="28" t="b">
        <x:v>0</x:v>
      </x:c>
      <x:c r="H33" s="23" t="str"/>
      <x:c r="I33" s="23" t="str">
        <x:v>#E19164</x:v>
      </x:c>
      <x:c r="J33" s="23" t="str"/>
      <x:c r="K33" s="23" t="str"/>
      <x:c r="L33" s="23" t="str">
        <x:v>복숭아 향과 은은한 단맛을 지닌 과일 브랜디.</x:v>
      </x:c>
      <x:c r="M33" s="23" t="str">
        <x:v>A fruit brandy with peach aroma and gentle sweetness.</x:v>
      </x:c>
      <x:c r="N33" s="23" t="str">
        <x:v>NEEDS_ASSET</x:v>
      </x:c>
      <x:c r="O33" s="23" t="str">
        <x:v>29종 신규 재료: 역할/색상 검토 필요</x:v>
      </x:c>
      <x:c r="P33" s="23" t="str">
        <x:f>IF(COUNTIF($A$2:$A$39,A33)=1,"OK","DUPLICATE")</x:f>
        <x:v>OK</x:v>
      </x:c>
      <x:c r="Q33" s="23" t="str">
        <x:f>IF(AND(D33&lt;&gt;"",E33&lt;&gt;"",L33&lt;&gt;"",M33&lt;&gt;""),"OK","MISSING")</x:f>
        <x:v>OK</x:v>
      </x:c>
      <x:c r="R33" s="23" t="str">
        <x:f>IF(OR(G33=FALSE,AND(G33=TRUE,H33&lt;&gt;"")),"OK","MISSING")</x:f>
        <x:v>OK</x:v>
      </x:c>
    </x:row>
    <x:row r="34" ht="43.20000076293945" hidden="0" customHeight="1">
      <x:c r="A34" s="23" t="str">
        <x:v>green_creme_de_menthe</x:v>
      </x:c>
      <x:c r="B34" s="23" t="str">
        <x:v>ACTIVE</x:v>
      </x:c>
      <x:c r="C34" s="23" t="n">
        <x:v>6</x:v>
      </x:c>
      <x:c r="D34" s="23" t="str">
        <x:v>그린 크렘 드 멘트</x:v>
      </x:c>
      <x:c r="E34" s="23" t="str">
        <x:v>Green Crème de Menthe</x:v>
      </x:c>
      <x:c r="F34" s="23" t="str">
        <x:v>LIQUEUR</x:v>
      </x:c>
      <x:c r="G34" s="28" t="b">
        <x:v>0</x:v>
      </x:c>
      <x:c r="H34" s="23" t="str"/>
      <x:c r="I34" s="23" t="str">
        <x:v>#2DA06E</x:v>
      </x:c>
      <x:c r="J34" s="23" t="str"/>
      <x:c r="K34" s="23" t="str"/>
      <x:c r="L34" s="23" t="str">
        <x:v>차가운 민트 향과 초록빛을 더하는 리큐르.</x:v>
      </x:c>
      <x:c r="M34" s="23" t="str">
        <x:v>A green liqueur that adds a cool mint aroma.</x:v>
      </x:c>
      <x:c r="N34" s="23" t="str">
        <x:v>NEEDS_ASSET</x:v>
      </x:c>
      <x:c r="O34" s="23" t="str">
        <x:v>29종 신규 재료: 역할/색상 검토 필요</x:v>
      </x:c>
      <x:c r="P34" s="23" t="str">
        <x:f>IF(COUNTIF($A$2:$A$39,A34)=1,"OK","DUPLICATE")</x:f>
        <x:v>OK</x:v>
      </x:c>
      <x:c r="Q34" s="23" t="str">
        <x:f>IF(AND(D34&lt;&gt;"",E34&lt;&gt;"",L34&lt;&gt;"",M34&lt;&gt;""),"OK","MISSING")</x:f>
        <x:v>OK</x:v>
      </x:c>
      <x:c r="R34" s="23" t="str">
        <x:f>IF(OR(G34=FALSE,AND(G34=TRUE,H34&lt;&gt;"")),"OK","MISSING")</x:f>
        <x:v>OK</x:v>
      </x:c>
    </x:row>
    <x:row r="35" ht="86.4000015258789" hidden="0" customHeight="1">
      <x:c r="A35" s="23" t="str">
        <x:v>white_creme_de_cacao</x:v>
      </x:c>
      <x:c r="B35" s="23" t="str">
        <x:v>ACTIVE</x:v>
      </x:c>
      <x:c r="C35" s="23" t="n">
        <x:v>6</x:v>
      </x:c>
      <x:c r="D35" s="23" t="str">
        <x:v>화이트 크렘 드 카카오</x:v>
      </x:c>
      <x:c r="E35" s="23" t="str">
        <x:v>White Crème de Cacao</x:v>
      </x:c>
      <x:c r="F35" s="23" t="str">
        <x:v>LIQUEUR</x:v>
      </x:c>
      <x:c r="G35" s="28" t="b">
        <x:v>0</x:v>
      </x:c>
      <x:c r="H35" s="23" t="str"/>
      <x:c r="I35" s="23" t="str">
        <x:v>#E8DCBC</x:v>
      </x:c>
      <x:c r="J35" s="23" t="str"/>
      <x:c r="K35" s="23" t="str"/>
      <x:c r="L35" s="23" t="str">
        <x:v>색을 흐리지 않고 카카오의 단맛을 더하는 리큐르.</x:v>
      </x:c>
      <x:c r="M35" s="23" t="str">
        <x:v>A clear cacao liqueur that adds sweetness without darkening the drink.</x:v>
      </x:c>
      <x:c r="N35" s="23" t="str">
        <x:v>NEEDS_ASSET</x:v>
      </x:c>
      <x:c r="O35" s="23" t="str">
        <x:v>29종 신규 재료: 역할/색상 검토 필요</x:v>
      </x:c>
      <x:c r="P35" s="23" t="str">
        <x:f>IF(COUNTIF($A$2:$A$39,A35)=1,"OK","DUPLICATE")</x:f>
        <x:v>OK</x:v>
      </x:c>
      <x:c r="Q35" s="23" t="str">
        <x:f>IF(AND(D35&lt;&gt;"",E35&lt;&gt;"",L35&lt;&gt;"",M35&lt;&gt;""),"OK","MISSING")</x:f>
        <x:v>OK</x:v>
      </x:c>
      <x:c r="R35" s="23" t="str">
        <x:f>IF(OR(G35=FALSE,AND(G35=TRUE,H35&lt;&gt;"")),"OK","MISSING")</x:f>
        <x:v>OK</x:v>
      </x:c>
    </x:row>
    <x:row r="36" ht="43.20000076293945" hidden="0" customHeight="1">
      <x:c r="A36" s="23" t="str">
        <x:v>pineapple_juice</x:v>
      </x:c>
      <x:c r="B36" s="23" t="str">
        <x:v>ACTIVE</x:v>
      </x:c>
      <x:c r="C36" s="23" t="n">
        <x:v>7</x:v>
      </x:c>
      <x:c r="D36" s="23" t="str">
        <x:v>파인애플주스</x:v>
      </x:c>
      <x:c r="E36" s="23" t="str">
        <x:v>Pineapple Juice</x:v>
      </x:c>
      <x:c r="F36" s="23" t="str">
        <x:v>JUICE</x:v>
      </x:c>
      <x:c r="G36" s="28" t="b">
        <x:v>0</x:v>
      </x:c>
      <x:c r="H36" s="23" t="str"/>
      <x:c r="I36" s="23" t="str">
        <x:v>#EBC84B</x:v>
      </x:c>
      <x:c r="J36" s="23" t="str"/>
      <x:c r="K36" s="23" t="str"/>
      <x:c r="L36" s="23" t="str">
        <x:v>열대과일의 산미와 달콤함을 더하는 주스.</x:v>
      </x:c>
      <x:c r="M36" s="23" t="str">
        <x:v>A juice that adds tropical acidity and sweetness.</x:v>
      </x:c>
      <x:c r="N36" s="23" t="str">
        <x:v>NEEDS_ASSET</x:v>
      </x:c>
      <x:c r="O36" s="23" t="str">
        <x:v>29종 신규 재료: 역할/색상 검토 필요</x:v>
      </x:c>
      <x:c r="P36" s="23" t="str">
        <x:f>IF(COUNTIF($A$2:$A$39,A36)=1,"OK","DUPLICATE")</x:f>
        <x:v>OK</x:v>
      </x:c>
      <x:c r="Q36" s="23" t="str">
        <x:f>IF(AND(D36&lt;&gt;"",E36&lt;&gt;"",L36&lt;&gt;"",M36&lt;&gt;""),"OK","MISSING")</x:f>
        <x:v>OK</x:v>
      </x:c>
      <x:c r="R36" s="23" t="str">
        <x:f>IF(OR(G36=FALSE,AND(G36=TRUE,H36&lt;&gt;"")),"OK","MISSING")</x:f>
        <x:v>OK</x:v>
      </x:c>
    </x:row>
    <x:row r="37" ht="64.80000305175781" hidden="0" customHeight="1">
      <x:c r="A37" s="23" t="str">
        <x:v>cream</x:v>
      </x:c>
      <x:c r="B37" s="23" t="str">
        <x:v>ACTIVE</x:v>
      </x:c>
      <x:c r="C37" s="23" t="n">
        <x:v>5</x:v>
      </x:c>
      <x:c r="D37" s="23" t="str">
        <x:v>크림</x:v>
      </x:c>
      <x:c r="E37" s="23" t="str">
        <x:v>Cream</x:v>
      </x:c>
      <x:c r="F37" s="23" t="str">
        <x:v>DAIRY</x:v>
      </x:c>
      <x:c r="G37" s="28" t="b">
        <x:v>0</x:v>
      </x:c>
      <x:c r="H37" s="23" t="str"/>
      <x:c r="I37" s="23" t="str">
        <x:v>#F0E4CD</x:v>
      </x:c>
      <x:c r="J37" s="23" t="str"/>
      <x:c r="K37" s="23" t="str"/>
      <x:c r="L37" s="23" t="str">
        <x:v>칵테일에 질감과 부드러운 풍미를 더하는 크림.</x:v>
      </x:c>
      <x:c r="M37" s="23" t="str">
        <x:v>Cream that adds body and a smooth flavor to cocktails.</x:v>
      </x:c>
      <x:c r="N37" s="23" t="str">
        <x:v>NEEDS_ASSET</x:v>
      </x:c>
      <x:c r="O37" s="23" t="str">
        <x:v>29종 신규 재료: 역할/색상 검토 필요</x:v>
      </x:c>
      <x:c r="P37" s="23" t="str">
        <x:f>IF(COUNTIF($A$2:$A$39,A37)=1,"OK","DUPLICATE")</x:f>
        <x:v>OK</x:v>
      </x:c>
      <x:c r="Q37" s="23" t="str">
        <x:f>IF(AND(D37&lt;&gt;"",E37&lt;&gt;"",L37&lt;&gt;"",M37&lt;&gt;""),"OK","MISSING")</x:f>
        <x:v>OK</x:v>
      </x:c>
      <x:c r="R37" s="23" t="str">
        <x:f>IF(OR(G37=FALSE,AND(G37=TRUE,H37&lt;&gt;"")),"OK","MISSING")</x:f>
        <x:v>OK</x:v>
      </x:c>
    </x:row>
    <x:row r="38" ht="64.80000305175781" hidden="0" customHeight="1">
      <x:c r="A38" s="23" t="str">
        <x:v>coconut_milk</x:v>
      </x:c>
      <x:c r="B38" s="23" t="str">
        <x:v>ACTIVE</x:v>
      </x:c>
      <x:c r="C38" s="23" t="n">
        <x:v>7</x:v>
      </x:c>
      <x:c r="D38" s="23" t="str">
        <x:v>코코넛우유</x:v>
      </x:c>
      <x:c r="E38" s="23" t="str">
        <x:v>Coconut Milk</x:v>
      </x:c>
      <x:c r="F38" s="23" t="str">
        <x:v>DAIRY</x:v>
      </x:c>
      <x:c r="G38" s="28" t="b">
        <x:v>0</x:v>
      </x:c>
      <x:c r="H38" s="23" t="str"/>
      <x:c r="I38" s="23" t="str">
        <x:v>#F3EEDC</x:v>
      </x:c>
      <x:c r="J38" s="23" t="str"/>
      <x:c r="K38" s="23" t="str"/>
      <x:c r="L38" s="23" t="str">
        <x:v>코코넛의 고소함과 부드러운 질감을 더하는 재료.</x:v>
      </x:c>
      <x:c r="M38" s="23" t="str">
        <x:v>An ingredient that adds coconut richness and a smooth texture.</x:v>
      </x:c>
      <x:c r="N38" s="23" t="str">
        <x:v>NEEDS_ASSET</x:v>
      </x:c>
      <x:c r="O38" s="23" t="str">
        <x:v>29종 신규 재료: 역할/색상 검토 필요</x:v>
      </x:c>
      <x:c r="P38" s="23" t="str">
        <x:f>IF(COUNTIF($A$2:$A$39,A38)=1,"OK","DUPLICATE")</x:f>
        <x:v>OK</x:v>
      </x:c>
      <x:c r="Q38" s="23" t="str">
        <x:f>IF(AND(D38&lt;&gt;"",E38&lt;&gt;"",L38&lt;&gt;"",M38&lt;&gt;""),"OK","MISSING")</x:f>
        <x:v>OK</x:v>
      </x:c>
      <x:c r="R38" s="23" t="str">
        <x:f>IF(OR(G38=FALSE,AND(G38=TRUE,H38&lt;&gt;"")),"OK","MISSING")</x:f>
        <x:v>OK</x:v>
      </x:c>
    </x:row>
    <x:row r="39" ht="64.80000305175781" hidden="0" customHeight="1">
      <x:c r="A39" s="23" t="str">
        <x:v>coffee</x:v>
      </x:c>
      <x:c r="B39" s="23" t="str">
        <x:v>ACTIVE</x:v>
      </x:c>
      <x:c r="C39" s="23" t="n">
        <x:v>6</x:v>
      </x:c>
      <x:c r="D39" s="23" t="str">
        <x:v>커피</x:v>
      </x:c>
      <x:c r="E39" s="23" t="str">
        <x:v>Coffee</x:v>
      </x:c>
      <x:c r="F39" s="23" t="str">
        <x:v>OTHER</x:v>
      </x:c>
      <x:c r="G39" s="28" t="b">
        <x:v>0</x:v>
      </x:c>
      <x:c r="H39" s="23" t="str"/>
      <x:c r="I39" s="23" t="str">
        <x:v>#462D1E</x:v>
      </x:c>
      <x:c r="J39" s="23" t="str"/>
      <x:c r="K39" s="23" t="str"/>
      <x:c r="L39" s="23" t="str">
        <x:v>쓴맛과 볶은 향으로 칵테일의 중심을 잡는 커피.</x:v>
      </x:c>
      <x:c r="M39" s="23" t="str">
        <x:v>Coffee that anchors a cocktail with bitterness and roasted aroma.</x:v>
      </x:c>
      <x:c r="N39" s="23" t="str">
        <x:v>NEEDS_ASSET</x:v>
      </x:c>
      <x:c r="O39" s="23" t="str">
        <x:v>29종 신규 재료: 역할/색상 검토 필요</x:v>
      </x:c>
      <x:c r="P39" s="23" t="str">
        <x:f>IF(COUNTIF($A$2:$A$39,A39)=1,"OK","DUPLICATE")</x:f>
        <x:v>OK</x:v>
      </x:c>
      <x:c r="Q39" s="23" t="str">
        <x:f>IF(AND(D39&lt;&gt;"",E39&lt;&gt;"",L39&lt;&gt;"",M39&lt;&gt;""),"OK","MISSING")</x:f>
        <x:v>OK</x:v>
      </x:c>
      <x:c r="R39" s="23" t="str">
        <x:f>IF(OR(G39=FALSE,AND(G39=TRUE,H39&lt;&gt;"")),"OK","MISSING")</x:f>
        <x:v>OK</x:v>
      </x:c>
    </x:row>
  </x:sheetData>
  <x:dataValidations count="4">
    <x:dataValidation type="list" sqref="B2:B39">
      <x:formula1>"ACTIVE,HIDDEN,RETIRED"</x:formula1>
    </x:dataValidation>
    <x:dataValidation type="list" sqref="F2:F39">
      <x:formula1>"BASE_SPIRIT,WINE_BEER,MIXER,FRUIT,POWDER,JUICE,LIQUEUR,SYRUP,DAIRY,OTHER"</x:formula1>
    </x:dataValidation>
    <x:dataValidation type="list" sqref="H2:H39">
      <x:formula1>"CAP,CORK"</x:formula1>
    </x:dataValidation>
    <x:dataValidation type="list" sqref="N2:N39">
      <x:formula1>"CONFIRMED,NEEDS_ASSET,NEEDS_REVIEW"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4" hidden="0" customWidth="1"/>
    <x:col min="5" max="5" width="22" hidden="0" customWidth="1"/>
    <x:col min="6" max="6" width="22" hidden="0" customWidth="1"/>
    <x:col min="7" max="7" width="17" hidden="0" customWidth="1"/>
    <x:col min="8" max="8" width="17" hidden="0" customWidth="1"/>
    <x:col min="9" max="9" width="34" hidden="0" customWidth="1"/>
    <x:col min="10" max="10" width="22" hidden="0" customWidth="1"/>
    <x:col min="11" max="11" width="14" hidden="0" customWidth="1"/>
  </x:cols>
  <x:sheetData>
    <x:row r="1" ht="28" customHeight="1">
      <x:c r="A1" s="19" t="str">
        <x:v>glass_id</x:v>
      </x:c>
      <x:c r="B1" s="19" t="str">
        <x:v>name_ko</x:v>
      </x:c>
      <x:c r="C1" s="19" t="str">
        <x:v>name_en</x:v>
      </x:c>
      <x:c r="D1" s="19" t="str">
        <x:v>capacity_ml</x:v>
      </x:c>
      <x:c r="E1" s="19" t="str">
        <x:v>sprite_key</x:v>
      </x:c>
      <x:c r="F1" s="19" t="str">
        <x:v>icon_key</x:v>
      </x:c>
      <x:c r="G1" s="19" t="str">
        <x:v>roster_status</x:v>
      </x:c>
      <x:c r="H1" s="19" t="str">
        <x:v>data_status</x:v>
      </x:c>
      <x:c r="I1" s="19" t="str">
        <x:v>review_note</x:v>
      </x:c>
      <x:c r="J1" s="19" t="str">
        <x:v>qa_id</x:v>
      </x:c>
      <x:c r="K1" s="19" t="str">
        <x:v>qa_l10n</x:v>
      </x:c>
    </x:row>
    <x:row r="2" ht="54" hidden="0" customHeight="1">
      <x:c r="A2" s="23" t="str">
        <x:v>cocktail_glass</x:v>
      </x:c>
      <x:c r="B2" s="23" t="str">
        <x:v>칵테일잔</x:v>
      </x:c>
      <x:c r="C2" s="23" t="str">
        <x:v>Cocktail Glass</x:v>
      </x:c>
      <x:c r="D2" s="23" t="n">
        <x:v>150</x:v>
      </x:c>
      <x:c r="E2" s="23" t="str"/>
      <x:c r="F2" s="23" t="str"/>
      <x:c r="G2" s="23" t="str">
        <x:v>ACTIVE</x:v>
      </x:c>
      <x:c r="H2" s="23" t="str">
        <x:v>NEEDS_ASSET</x:v>
      </x:c>
      <x:c r="I2" s="23" t="str">
        <x:v>용량과 리소스 키는 아트·프로그래밍 합의 후 확정</x:v>
      </x:c>
      <x:c r="J2" s="23" t="str">
        <x:f>IF(COUNTIF($A$2:$A$7,A2)=1,"OK","DUPLICATE")</x:f>
        <x:v>OK</x:v>
      </x:c>
      <x:c r="K2" s="23" t="str">
        <x:f>IF(AND(B2&lt;&gt;"",C2&lt;&gt;""),"OK","MISSING")</x:f>
        <x:v>OK</x:v>
      </x:c>
    </x:row>
    <x:row r="3" ht="54" hidden="0" customHeight="1">
      <x:c r="A3" s="23" t="str">
        <x:v>long_drink_glass</x:v>
      </x:c>
      <x:c r="B3" s="23" t="str">
        <x:v>롱드링크잔</x:v>
      </x:c>
      <x:c r="C3" s="23" t="str">
        <x:v>Long Drink Glass</x:v>
      </x:c>
      <x:c r="D3" s="23" t="n">
        <x:v>300</x:v>
      </x:c>
      <x:c r="E3" s="23" t="str"/>
      <x:c r="F3" s="23" t="str"/>
      <x:c r="G3" s="23" t="str">
        <x:v>ACTIVE</x:v>
      </x:c>
      <x:c r="H3" s="23" t="str">
        <x:v>NEEDS_ASSET</x:v>
      </x:c>
      <x:c r="I3" s="23" t="str">
        <x:v>용량과 리소스 키는 아트·프로그래밍 합의 후 확정</x:v>
      </x:c>
      <x:c r="J3" s="23" t="str">
        <x:f>IF(COUNTIF($A$2:$A$7,A3)=1,"OK","DUPLICATE")</x:f>
        <x:v>OK</x:v>
      </x:c>
      <x:c r="K3" s="23" t="str">
        <x:f>IF(AND(B3&lt;&gt;"",C3&lt;&gt;""),"OK","MISSING")</x:f>
        <x:v>OK</x:v>
      </x:c>
    </x:row>
    <x:row r="4" ht="54" hidden="0" customHeight="1">
      <x:c r="A4" s="23" t="str">
        <x:v>old_fashioned_glass</x:v>
      </x:c>
      <x:c r="B4" s="23" t="str">
        <x:v>올드패션드잔</x:v>
      </x:c>
      <x:c r="C4" s="23" t="str">
        <x:v>Old Fashioned Glass</x:v>
      </x:c>
      <x:c r="D4" s="23" t="n">
        <x:v>240</x:v>
      </x:c>
      <x:c r="E4" s="23" t="str"/>
      <x:c r="F4" s="23" t="str"/>
      <x:c r="G4" s="23" t="str">
        <x:v>ACTIVE</x:v>
      </x:c>
      <x:c r="H4" s="23" t="str">
        <x:v>NEEDS_ASSET</x:v>
      </x:c>
      <x:c r="I4" s="23" t="str">
        <x:v>용량과 리소스 키는 아트·프로그래밍 합의 후 확정</x:v>
      </x:c>
      <x:c r="J4" s="23" t="str">
        <x:f>IF(COUNTIF($A$2:$A$7,A4)=1,"OK","DUPLICATE")</x:f>
        <x:v>OK</x:v>
      </x:c>
      <x:c r="K4" s="23" t="str">
        <x:f>IF(AND(B4&lt;&gt;"",C4&lt;&gt;""),"OK","MISSING")</x:f>
        <x:v>OK</x:v>
      </x:c>
    </x:row>
    <x:row r="5" ht="54" hidden="0" customHeight="1">
      <x:c r="A5" s="23" t="str">
        <x:v>wine_glass</x:v>
      </x:c>
      <x:c r="B5" s="23" t="str">
        <x:v>와인잔</x:v>
      </x:c>
      <x:c r="C5" s="23" t="str">
        <x:v>Wine Glass</x:v>
      </x:c>
      <x:c r="D5" s="23" t="n">
        <x:v>240</x:v>
      </x:c>
      <x:c r="E5" s="23" t="str"/>
      <x:c r="F5" s="23" t="str"/>
      <x:c r="G5" s="23" t="str">
        <x:v>ACTIVE</x:v>
      </x:c>
      <x:c r="H5" s="23" t="str">
        <x:v>NEEDS_ASSET</x:v>
      </x:c>
      <x:c r="I5" s="23" t="str">
        <x:v>용량과 리소스 키는 아트·프로그래밍 합의 후 확정</x:v>
      </x:c>
      <x:c r="J5" s="23" t="str">
        <x:f>IF(COUNTIF($A$2:$A$7,A5)=1,"OK","DUPLICATE")</x:f>
        <x:v>OK</x:v>
      </x:c>
      <x:c r="K5" s="23" t="str">
        <x:f>IF(AND(B5&lt;&gt;"",C5&lt;&gt;""),"OK","MISSING")</x:f>
        <x:v>OK</x:v>
      </x:c>
    </x:row>
    <x:row r="6" ht="54" hidden="0" customHeight="1">
      <x:c r="A6" s="23" t="str">
        <x:v>beer_mug</x:v>
      </x:c>
      <x:c r="B6" s="23" t="str">
        <x:v>맥주잔</x:v>
      </x:c>
      <x:c r="C6" s="23" t="str">
        <x:v>Beer Mug</x:v>
      </x:c>
      <x:c r="D6" s="23" t="n">
        <x:v>355</x:v>
      </x:c>
      <x:c r="E6" s="23" t="str"/>
      <x:c r="F6" s="23" t="str"/>
      <x:c r="G6" s="23" t="str">
        <x:v>ACTIVE</x:v>
      </x:c>
      <x:c r="H6" s="23" t="str">
        <x:v>NEEDS_ASSET</x:v>
      </x:c>
      <x:c r="I6" s="23" t="str">
        <x:v>용량과 리소스 키는 아트·프로그래밍 합의 후 확정</x:v>
      </x:c>
      <x:c r="J6" s="23" t="str">
        <x:f>IF(COUNTIF($A$2:$A$7,A6)=1,"OK","DUPLICATE")</x:f>
        <x:v>OK</x:v>
      </x:c>
      <x:c r="K6" s="23" t="str">
        <x:f>IF(AND(B6&lt;&gt;"",C6&lt;&gt;""),"OK","MISSING")</x:f>
        <x:v>OK</x:v>
      </x:c>
    </x:row>
    <x:row r="7" ht="54" hidden="0" customHeight="1">
      <x:c r="A7" s="23" t="str">
        <x:v>sour_glass</x:v>
      </x:c>
      <x:c r="B7" s="23" t="str">
        <x:v>사워잔</x:v>
      </x:c>
      <x:c r="C7" s="23" t="str">
        <x:v>Sour Glass</x:v>
      </x:c>
      <x:c r="D7" s="23" t="n">
        <x:v>180</x:v>
      </x:c>
      <x:c r="E7" s="23" t="str"/>
      <x:c r="F7" s="23" t="str"/>
      <x:c r="G7" s="23" t="str">
        <x:v>ACTIVE</x:v>
      </x:c>
      <x:c r="H7" s="23" t="str">
        <x:v>NEEDS_ASSET</x:v>
      </x:c>
      <x:c r="I7" s="23" t="str">
        <x:v>용량과 리소스 키는 아트·프로그래밍 합의 후 확정</x:v>
      </x:c>
      <x:c r="J7" s="23" t="str">
        <x:f>IF(COUNTIF($A$2:$A$7,A7)=1,"OK","DUPLICATE")</x:f>
        <x:v>OK</x:v>
      </x:c>
      <x:c r="K7" s="23" t="str">
        <x:f>IF(AND(B7&lt;&gt;"",C7&lt;&gt;""),"OK","MISSING")</x:f>
        <x:v>OK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7" hidden="0" customWidth="1"/>
    <x:col min="5" max="5" width="14" hidden="0" customWidth="1"/>
    <x:col min="6" max="6" width="22" hidden="0" customWidth="1"/>
    <x:col min="7" max="7" width="22" hidden="0" customWidth="1"/>
    <x:col min="8" max="8" width="17" hidden="0" customWidth="1"/>
    <x:col min="9" max="9" width="17" hidden="0" customWidth="1"/>
    <x:col min="10" max="10" width="34" hidden="0" customWidth="1"/>
    <x:col min="11" max="11" width="22" hidden="0" customWidth="1"/>
    <x:col min="12" max="12" width="14" hidden="0" customWidth="1"/>
  </x:cols>
  <x:sheetData>
    <x:row r="1" ht="28" customHeight="1">
      <x:c r="A1" s="19" t="str">
        <x:v>tool_id</x:v>
      </x:c>
      <x:c r="B1" s="19" t="str">
        <x:v>name_ko</x:v>
      </x:c>
      <x:c r="C1" s="19" t="str">
        <x:v>name_en</x:v>
      </x:c>
      <x:c r="D1" s="19" t="str">
        <x:v>mix_action</x:v>
      </x:c>
      <x:c r="E1" s="19" t="str">
        <x:v>selectable</x:v>
      </x:c>
      <x:c r="F1" s="19" t="str">
        <x:v>sprite_key</x:v>
      </x:c>
      <x:c r="G1" s="19" t="str">
        <x:v>icon_key</x:v>
      </x:c>
      <x:c r="H1" s="19" t="str">
        <x:v>roster_status</x:v>
      </x:c>
      <x:c r="I1" s="19" t="str">
        <x:v>data_status</x:v>
      </x:c>
      <x:c r="J1" s="19" t="str">
        <x:v>review_note</x:v>
      </x:c>
      <x:c r="K1" s="19" t="str">
        <x:v>qa_id</x:v>
      </x:c>
      <x:c r="L1" s="19" t="str">
        <x:v>qa_l10n</x:v>
      </x:c>
    </x:row>
    <x:row r="2" ht="21.600000381469727" hidden="0" customHeight="1">
      <x:c r="A2" s="23" t="str">
        <x:v>shaker</x:v>
      </x:c>
      <x:c r="B2" s="23" t="str">
        <x:v>셰이커</x:v>
      </x:c>
      <x:c r="C2" s="23" t="str">
        <x:v>Shaker</x:v>
      </x:c>
      <x:c r="D2" s="23" t="str">
        <x:v>SHAKE</x:v>
      </x:c>
      <x:c r="E2" s="28" t="b">
        <x:v>1</x:v>
      </x:c>
      <x:c r="F2" s="23" t="str"/>
      <x:c r="G2" s="23" t="str"/>
      <x:c r="H2" s="23" t="str">
        <x:v>ACTIVE</x:v>
      </x:c>
      <x:c r="I2" s="23" t="str">
        <x:v>NEEDS_ASSET</x:v>
      </x:c>
      <x:c r="J2" s="23" t="str"/>
      <x:c r="K2" s="23" t="str">
        <x:f>IF(COUNTIF($A$2:$A$3,A2)=1,"OK","DUPLICATE")</x:f>
        <x:v>OK</x:v>
      </x:c>
      <x:c r="L2" s="23" t="str">
        <x:f>IF(AND(B2&lt;&gt;"",C2&lt;&gt;""),"OK","MISSING")</x:f>
        <x:v>OK</x:v>
      </x:c>
    </x:row>
    <x:row r="3" ht="21.600000381469727" hidden="0" customHeight="1">
      <x:c r="A3" s="23" t="str">
        <x:v>mixing_glass</x:v>
      </x:c>
      <x:c r="B3" s="23" t="str">
        <x:v>믹싱 글라스와 바 스푼</x:v>
      </x:c>
      <x:c r="C3" s="23" t="str">
        <x:v>Mixing Glass &amp; Bar Spoon</x:v>
      </x:c>
      <x:c r="D3" s="23" t="str">
        <x:v>STIR</x:v>
      </x:c>
      <x:c r="E3" s="28" t="b">
        <x:v>1</x:v>
      </x:c>
      <x:c r="F3" s="23" t="str"/>
      <x:c r="G3" s="23" t="str"/>
      <x:c r="H3" s="23" t="str">
        <x:v>ACTIVE</x:v>
      </x:c>
      <x:c r="I3" s="23" t="str">
        <x:v>NEEDS_ASSET</x:v>
      </x:c>
      <x:c r="J3" s="23" t="str"/>
      <x:c r="K3" s="23" t="str">
        <x:f>IF(COUNTIF($A$2:$A$3,A3)=1,"OK","DUPLICATE")</x:f>
        <x:v>OK</x:v>
      </x:c>
      <x:c r="L3" s="23" t="str">
        <x:f>IF(AND(B3&lt;&gt;"",C3&lt;&gt;""),"OK","MISSING")</x:f>
        <x:v>OK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17" hidden="0" customWidth="1"/>
    <x:col min="7" max="7" width="17" hidden="0" customWidth="1"/>
    <x:col min="8" max="8" width="34" hidden="0" customWidth="1"/>
    <x:col min="9" max="9" width="22" hidden="0" customWidth="1"/>
    <x:col min="10" max="10" width="14" hidden="0" customWidth="1"/>
  </x:cols>
  <x:sheetData>
    <x:row r="1" ht="28" customHeight="1">
      <x:c r="A1" s="19" t="str">
        <x:v>garnish_id</x:v>
      </x:c>
      <x:c r="B1" s="19" t="str">
        <x:v>name_ko</x:v>
      </x:c>
      <x:c r="C1" s="19" t="str">
        <x:v>name_en</x:v>
      </x:c>
      <x:c r="D1" s="19" t="str">
        <x:v>sprite_key</x:v>
      </x:c>
      <x:c r="E1" s="19" t="str">
        <x:v>icon_key</x:v>
      </x:c>
      <x:c r="F1" s="19" t="str">
        <x:v>roster_status</x:v>
      </x:c>
      <x:c r="G1" s="19" t="str">
        <x:v>data_status</x:v>
      </x:c>
      <x:c r="H1" s="19" t="str">
        <x:v>review_note</x:v>
      </x:c>
      <x:c r="I1" s="19" t="str">
        <x:v>qa_id</x:v>
      </x:c>
      <x:c r="J1" s="19" t="str">
        <x:v>qa_l10n</x:v>
      </x:c>
    </x:row>
    <x:row r="2" ht="21.600000381469727" hidden="0" customHeight="1">
      <x:c r="A2" s="23" t="str">
        <x:v>olive</x:v>
      </x:c>
      <x:c r="B2" s="23" t="str">
        <x:v>올리브</x:v>
      </x:c>
      <x:c r="C2" s="23" t="str">
        <x:v>Olive</x:v>
      </x:c>
      <x:c r="D2" s="23" t="str"/>
      <x:c r="E2" s="23" t="str"/>
      <x:c r="F2" s="23" t="str">
        <x:v>ACTIVE</x:v>
      </x:c>
      <x:c r="G2" s="23" t="str">
        <x:v>NEEDS_ASSET</x:v>
      </x:c>
      <x:c r="H2" s="23" t="str"/>
      <x:c r="I2" s="23" t="str">
        <x:f>IF(COUNTIF($A$2:$A$6,A2)=1,"OK","DUPLICATE")</x:f>
        <x:v>OK</x:v>
      </x:c>
      <x:c r="J2" s="23" t="str">
        <x:f>IF(AND(B2&lt;&gt;"",C2&lt;&gt;""),"OK","MISSING")</x:f>
        <x:v>OK</x:v>
      </x:c>
    </x:row>
    <x:row r="3" ht="21.600000381469727" hidden="0" customHeight="1">
      <x:c r="A3" s="23" t="str">
        <x:v>lemon_slice</x:v>
      </x:c>
      <x:c r="B3" s="23" t="str">
        <x:v>레몬 슬라이스</x:v>
      </x:c>
      <x:c r="C3" s="23" t="str">
        <x:v>Lemon Slice</x:v>
      </x:c>
      <x:c r="D3" s="23" t="str"/>
      <x:c r="E3" s="23" t="str"/>
      <x:c r="F3" s="23" t="str">
        <x:v>ACTIVE</x:v>
      </x:c>
      <x:c r="G3" s="23" t="str">
        <x:v>NEEDS_ASSET</x:v>
      </x:c>
      <x:c r="H3" s="23" t="str"/>
      <x:c r="I3" s="23" t="str">
        <x:f>IF(COUNTIF($A$2:$A$6,A3)=1,"OK","DUPLICATE")</x:f>
        <x:v>OK</x:v>
      </x:c>
      <x:c r="J3" s="23" t="str">
        <x:f>IF(AND(B3&lt;&gt;"",C3&lt;&gt;""),"OK","MISSING")</x:f>
        <x:v>OK</x:v>
      </x:c>
    </x:row>
    <x:row r="4" ht="21.600000381469727" hidden="0" customHeight="1">
      <x:c r="A4" s="23" t="str">
        <x:v>lime_wedge</x:v>
      </x:c>
      <x:c r="B4" s="23" t="str">
        <x:v>라임 웨지</x:v>
      </x:c>
      <x:c r="C4" s="23" t="str">
        <x:v>Lime Wedge</x:v>
      </x:c>
      <x:c r="D4" s="23" t="str"/>
      <x:c r="E4" s="23" t="str"/>
      <x:c r="F4" s="23" t="str">
        <x:v>ACTIVE</x:v>
      </x:c>
      <x:c r="G4" s="23" t="str">
        <x:v>NEEDS_ASSET</x:v>
      </x:c>
      <x:c r="H4" s="23" t="str"/>
      <x:c r="I4" s="23" t="str">
        <x:f>IF(COUNTIF($A$2:$A$6,A4)=1,"OK","DUPLICATE")</x:f>
        <x:v>OK</x:v>
      </x:c>
      <x:c r="J4" s="23" t="str">
        <x:f>IF(AND(B4&lt;&gt;"",C4&lt;&gt;""),"OK","MISSING")</x:f>
        <x:v>OK</x:v>
      </x:c>
    </x:row>
    <x:row r="5" ht="21.600000381469727" hidden="0" customHeight="1">
      <x:c r="A5" s="23" t="str">
        <x:v>orange_slice</x:v>
      </x:c>
      <x:c r="B5" s="23" t="str">
        <x:v>오렌지 슬라이스</x:v>
      </x:c>
      <x:c r="C5" s="23" t="str">
        <x:v>Orange Slice</x:v>
      </x:c>
      <x:c r="D5" s="23" t="str"/>
      <x:c r="E5" s="23" t="str"/>
      <x:c r="F5" s="23" t="str">
        <x:v>ACTIVE</x:v>
      </x:c>
      <x:c r="G5" s="23" t="str">
        <x:v>NEEDS_ASSET</x:v>
      </x:c>
      <x:c r="H5" s="23" t="str"/>
      <x:c r="I5" s="23" t="str">
        <x:f>IF(COUNTIF($A$2:$A$6,A5)=1,"OK","DUPLICATE")</x:f>
        <x:v>OK</x:v>
      </x:c>
      <x:c r="J5" s="23" t="str">
        <x:f>IF(AND(B5&lt;&gt;"",C5&lt;&gt;""),"OK","MISSING")</x:f>
        <x:v>OK</x:v>
      </x:c>
    </x:row>
    <x:row r="6" ht="21.600000381469727" hidden="0" customHeight="1">
      <x:c r="A6" s="23" t="str">
        <x:v>cherry</x:v>
      </x:c>
      <x:c r="B6" s="23" t="str">
        <x:v>체리</x:v>
      </x:c>
      <x:c r="C6" s="23" t="str">
        <x:v>Cherry</x:v>
      </x:c>
      <x:c r="D6" s="23" t="str"/>
      <x:c r="E6" s="23" t="str"/>
      <x:c r="F6" s="23" t="str">
        <x:v>ACTIVE</x:v>
      </x:c>
      <x:c r="G6" s="23" t="str">
        <x:v>NEEDS_ASSET</x:v>
      </x:c>
      <x:c r="H6" s="23" t="str"/>
      <x:c r="I6" s="23" t="str">
        <x:f>IF(COUNTIF($A$2:$A$6,A6)=1,"OK","DUPLICATE")</x:f>
        <x:v>OK</x:v>
      </x:c>
      <x:c r="J6" s="23" t="str">
        <x:f>IF(AND(B6&lt;&gt;"",C6&lt;&gt;""),"OK","MISSING")</x:f>
        <x:v>OK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20" hidden="0" customWidth="1"/>
    <x:col min="4" max="4" width="20" hidden="0" customWidth="1"/>
    <x:col min="5" max="5" width="14" hidden="0" customWidth="1"/>
    <x:col min="6" max="6" width="17" hidden="0" customWidth="1"/>
    <x:col min="7" max="7" width="34" hidden="0" customWidth="1"/>
    <x:col min="8" max="8" width="22" hidden="0" customWidth="1"/>
    <x:col min="9" max="9" width="14" hidden="0" customWidth="1"/>
  </x:cols>
  <x:sheetData>
    <x:row r="1" ht="28" customHeight="1">
      <x:c r="A1" s="19" t="str">
        <x:v>tag_id</x:v>
      </x:c>
      <x:c r="B1" s="19" t="str">
        <x:v>category</x:v>
      </x:c>
      <x:c r="C1" s="19" t="str">
        <x:v>name_ko</x:v>
      </x:c>
      <x:c r="D1" s="19" t="str">
        <x:v>name_en</x:v>
      </x:c>
      <x:c r="E1" s="19" t="str">
        <x:v>sort_order</x:v>
      </x:c>
      <x:c r="F1" s="19" t="str">
        <x:v>data_status</x:v>
      </x:c>
      <x:c r="G1" s="19" t="str">
        <x:v>review_note</x:v>
      </x:c>
      <x:c r="H1" s="19" t="str">
        <x:v>qa_id</x:v>
      </x:c>
      <x:c r="I1" s="19" t="str">
        <x:v>qa_l10n</x:v>
      </x:c>
    </x:row>
    <x:row r="2" ht="21.600000381469727" hidden="0" customHeight="1">
      <x:c r="A2" s="23" t="str">
        <x:v>bitter</x:v>
      </x:c>
      <x:c r="B2" s="23" t="str">
        <x:v>TASTE_IMPRESSION</x:v>
      </x:c>
      <x:c r="C2" s="23" t="str">
        <x:v>씁쓸한</x:v>
      </x:c>
      <x:c r="D2" s="23" t="str">
        <x:v>Bitter</x:v>
      </x:c>
      <x:c r="E2" s="23" t="n">
        <x:v>1</x:v>
      </x:c>
      <x:c r="F2" s="23" t="str">
        <x:v>CONFIRMED</x:v>
      </x:c>
      <x:c r="G2" s="23" t="str"/>
      <x:c r="H2" s="23" t="str">
        <x:f>IF(COUNTIF($A$2:$A$17,A2)=1,"OK","DUPLICATE")</x:f>
        <x:v>OK</x:v>
      </x:c>
      <x:c r="I2" s="23" t="str">
        <x:f>IF(AND(C2&lt;&gt;"",D2&lt;&gt;""),"OK","MISSING")</x:f>
        <x:v>OK</x:v>
      </x:c>
    </x:row>
    <x:row r="3" ht="21.600000381469727" hidden="0" customHeight="1">
      <x:c r="A3" s="23" t="str">
        <x:v>classic</x:v>
      </x:c>
      <x:c r="B3" s="23" t="str">
        <x:v>TASTE_IMPRESSION</x:v>
      </x:c>
      <x:c r="C3" s="23" t="str">
        <x:v>클래식</x:v>
      </x:c>
      <x:c r="D3" s="23" t="str">
        <x:v>Classic</x:v>
      </x:c>
      <x:c r="E3" s="23" t="n">
        <x:v>2</x:v>
      </x:c>
      <x:c r="F3" s="23" t="str">
        <x:v>CONFIRMED</x:v>
      </x:c>
      <x:c r="G3" s="23" t="str"/>
      <x:c r="H3" s="23" t="str">
        <x:f>IF(COUNTIF($A$2:$A$17,A3)=1,"OK","DUPLICATE")</x:f>
        <x:v>OK</x:v>
      </x:c>
      <x:c r="I3" s="23" t="str">
        <x:f>IF(AND(C3&lt;&gt;"",D3&lt;&gt;""),"OK","MISSING")</x:f>
        <x:v>OK</x:v>
      </x:c>
    </x:row>
    <x:row r="4" ht="21.600000381469727" hidden="0" customHeight="1">
      <x:c r="A4" s="23" t="str">
        <x:v>strong</x:v>
      </x:c>
      <x:c r="B4" s="23" t="str">
        <x:v>TASTE_IMPRESSION</x:v>
      </x:c>
      <x:c r="C4" s="23" t="str">
        <x:v>독한</x:v>
      </x:c>
      <x:c r="D4" s="23" t="str">
        <x:v>Strong</x:v>
      </x:c>
      <x:c r="E4" s="23" t="n">
        <x:v>3</x:v>
      </x:c>
      <x:c r="F4" s="23" t="str">
        <x:v>CONFIRMED</x:v>
      </x:c>
      <x:c r="G4" s="23" t="str"/>
      <x:c r="H4" s="23" t="str">
        <x:f>IF(COUNTIF($A$2:$A$17,A4)=1,"OK","DUPLICATE")</x:f>
        <x:v>OK</x:v>
      </x:c>
      <x:c r="I4" s="23" t="str">
        <x:f>IF(AND(C4&lt;&gt;"",D4&lt;&gt;""),"OK","MISSING")</x:f>
        <x:v>OK</x:v>
      </x:c>
    </x:row>
    <x:row r="5" ht="21.600000381469727" hidden="0" customHeight="1">
      <x:c r="A5" s="23" t="str">
        <x:v>fresh</x:v>
      </x:c>
      <x:c r="B5" s="23" t="str">
        <x:v>TASTE_IMPRESSION</x:v>
      </x:c>
      <x:c r="C5" s="23" t="str">
        <x:v>상큼한</x:v>
      </x:c>
      <x:c r="D5" s="23" t="str">
        <x:v>Fresh</x:v>
      </x:c>
      <x:c r="E5" s="23" t="n">
        <x:v>4</x:v>
      </x:c>
      <x:c r="F5" s="23" t="str">
        <x:v>CONFIRMED</x:v>
      </x:c>
      <x:c r="G5" s="23" t="str"/>
      <x:c r="H5" s="23" t="str">
        <x:f>IF(COUNTIF($A$2:$A$17,A5)=1,"OK","DUPLICATE")</x:f>
        <x:v>OK</x:v>
      </x:c>
      <x:c r="I5" s="23" t="str">
        <x:f>IF(AND(C5&lt;&gt;"",D5&lt;&gt;""),"OK","MISSING")</x:f>
        <x:v>OK</x:v>
      </x:c>
    </x:row>
    <x:row r="6" ht="21.600000381469727" hidden="0" customHeight="1">
      <x:c r="A6" s="23" t="str">
        <x:v>smooth</x:v>
      </x:c>
      <x:c r="B6" s="23" t="str">
        <x:v>TASTE_IMPRESSION</x:v>
      </x:c>
      <x:c r="C6" s="23" t="str">
        <x:v>부드러운</x:v>
      </x:c>
      <x:c r="D6" s="23" t="str">
        <x:v>Smooth</x:v>
      </x:c>
      <x:c r="E6" s="23" t="n">
        <x:v>5</x:v>
      </x:c>
      <x:c r="F6" s="23" t="str">
        <x:v>CONFIRMED</x:v>
      </x:c>
      <x:c r="G6" s="23" t="str"/>
      <x:c r="H6" s="23" t="str">
        <x:f>IF(COUNTIF($A$2:$A$17,A6)=1,"OK","DUPLICATE")</x:f>
        <x:v>OK</x:v>
      </x:c>
      <x:c r="I6" s="23" t="str">
        <x:f>IF(AND(C6&lt;&gt;"",D6&lt;&gt;""),"OK","MISSING")</x:f>
        <x:v>OK</x:v>
      </x:c>
    </x:row>
    <x:row r="7" ht="21.600000381469727" hidden="0" customHeight="1">
      <x:c r="A7" s="23" t="str">
        <x:v>crisp</x:v>
      </x:c>
      <x:c r="B7" s="23" t="str">
        <x:v>TASTE_IMPRESSION</x:v>
      </x:c>
      <x:c r="C7" s="23" t="str">
        <x:v>청량한</x:v>
      </x:c>
      <x:c r="D7" s="23" t="str">
        <x:v>Crisp</x:v>
      </x:c>
      <x:c r="E7" s="23" t="n">
        <x:v>6</x:v>
      </x:c>
      <x:c r="F7" s="23" t="str">
        <x:v>CONFIRMED</x:v>
      </x:c>
      <x:c r="G7" s="23" t="str"/>
      <x:c r="H7" s="23" t="str">
        <x:f>IF(COUNTIF($A$2:$A$17,A7)=1,"OK","DUPLICATE")</x:f>
        <x:v>OK</x:v>
      </x:c>
      <x:c r="I7" s="23" t="str">
        <x:f>IF(AND(C7&lt;&gt;"",D7&lt;&gt;""),"OK","MISSING")</x:f>
        <x:v>OK</x:v>
      </x:c>
    </x:row>
    <x:row r="8" ht="21.600000381469727" hidden="0" customHeight="1">
      <x:c r="A8" s="23" t="str">
        <x:v>sweet</x:v>
      </x:c>
      <x:c r="B8" s="23" t="str">
        <x:v>TASTE_IMPRESSION</x:v>
      </x:c>
      <x:c r="C8" s="23" t="str">
        <x:v>달콤한</x:v>
      </x:c>
      <x:c r="D8" s="23" t="str">
        <x:v>Sweet</x:v>
      </x:c>
      <x:c r="E8" s="23" t="n">
        <x:v>7</x:v>
      </x:c>
      <x:c r="F8" s="23" t="str">
        <x:v>CONFIRMED</x:v>
      </x:c>
      <x:c r="G8" s="23" t="str"/>
      <x:c r="H8" s="23" t="str">
        <x:f>IF(COUNTIF($A$2:$A$17,A8)=1,"OK","DUPLICATE")</x:f>
        <x:v>OK</x:v>
      </x:c>
      <x:c r="I8" s="23" t="str">
        <x:f>IF(AND(C8&lt;&gt;"",D8&lt;&gt;""),"OK","MISSING")</x:f>
        <x:v>OK</x:v>
      </x:c>
    </x:row>
    <x:row r="9" ht="21.600000381469727" hidden="0" customHeight="1">
      <x:c r="A9" s="23" t="str">
        <x:v>full_bodied</x:v>
      </x:c>
      <x:c r="B9" s="23" t="str">
        <x:v>TASTE_IMPRESSION</x:v>
      </x:c>
      <x:c r="C9" s="23" t="str">
        <x:v>묵직한</x:v>
      </x:c>
      <x:c r="D9" s="23" t="str">
        <x:v>Full-bodied</x:v>
      </x:c>
      <x:c r="E9" s="23" t="n">
        <x:v>8</x:v>
      </x:c>
      <x:c r="F9" s="23" t="str">
        <x:v>CONFIRMED</x:v>
      </x:c>
      <x:c r="G9" s="23" t="str"/>
      <x:c r="H9" s="23" t="str">
        <x:f>IF(COUNTIF($A$2:$A$17,A9)=1,"OK","DUPLICATE")</x:f>
        <x:v>OK</x:v>
      </x:c>
      <x:c r="I9" s="23" t="str">
        <x:f>IF(AND(C9&lt;&gt;"",D9&lt;&gt;""),"OK","MISSING")</x:f>
        <x:v>OK</x:v>
      </x:c>
    </x:row>
    <x:row r="10" ht="21.600000381469727" hidden="0" customHeight="1">
      <x:c r="A10" s="23" t="str">
        <x:v>light</x:v>
      </x:c>
      <x:c r="B10" s="23" t="str">
        <x:v>TASTE_IMPRESSION</x:v>
      </x:c>
      <x:c r="C10" s="23" t="str">
        <x:v>가벼운</x:v>
      </x:c>
      <x:c r="D10" s="23" t="str">
        <x:v>Light</x:v>
      </x:c>
      <x:c r="E10" s="23" t="n">
        <x:v>9</x:v>
      </x:c>
      <x:c r="F10" s="23" t="str">
        <x:v>CONFIRMED</x:v>
      </x:c>
      <x:c r="G10" s="23" t="str"/>
      <x:c r="H10" s="23" t="str">
        <x:f>IF(COUNTIF($A$2:$A$17,A10)=1,"OK","DUPLICATE")</x:f>
        <x:v>OK</x:v>
      </x:c>
      <x:c r="I10" s="23" t="str">
        <x:f>IF(AND(C10&lt;&gt;"",D10&lt;&gt;""),"OK","MISSING")</x:f>
        <x:v>OK</x:v>
      </x:c>
    </x:row>
    <x:row r="11" ht="21.600000381469727" hidden="0" customHeight="1">
      <x:c r="A11" s="23" t="str">
        <x:v>bright</x:v>
      </x:c>
      <x:c r="B11" s="23" t="str">
        <x:v>TASTE_IMPRESSION</x:v>
      </x:c>
      <x:c r="C11" s="23" t="str">
        <x:v>화사한</x:v>
      </x:c>
      <x:c r="D11" s="23" t="str">
        <x:v>Bright</x:v>
      </x:c>
      <x:c r="E11" s="23" t="n">
        <x:v>10</x:v>
      </x:c>
      <x:c r="F11" s="23" t="str">
        <x:v>CONFIRMED</x:v>
      </x:c>
      <x:c r="G11" s="23" t="str"/>
      <x:c r="H11" s="23" t="str">
        <x:f>IF(COUNTIF($A$2:$A$17,A11)=1,"OK","DUPLICATE")</x:f>
        <x:v>OK</x:v>
      </x:c>
      <x:c r="I11" s="23" t="str">
        <x:f>IF(AND(C11&lt;&gt;"",D11&lt;&gt;""),"OK","MISSING")</x:f>
        <x:v>OK</x:v>
      </x:c>
    </x:row>
    <x:row r="12" ht="21.600000381469727" hidden="0" customHeight="1">
      <x:c r="A12" s="23" t="str">
        <x:v>spicy</x:v>
      </x:c>
      <x:c r="B12" s="23" t="str">
        <x:v>TASTE_IMPRESSION</x:v>
      </x:c>
      <x:c r="C12" s="23" t="str">
        <x:v>알싸한</x:v>
      </x:c>
      <x:c r="D12" s="23" t="str">
        <x:v>Spicy</x:v>
      </x:c>
      <x:c r="E12" s="23" t="n">
        <x:v>11</x:v>
      </x:c>
      <x:c r="F12" s="23" t="str">
        <x:v>CONFIRMED</x:v>
      </x:c>
      <x:c r="G12" s="23" t="str"/>
      <x:c r="H12" s="23" t="str">
        <x:f>IF(COUNTIF($A$2:$A$17,A12)=1,"OK","DUPLICATE")</x:f>
        <x:v>OK</x:v>
      </x:c>
      <x:c r="I12" s="23" t="str">
        <x:f>IF(AND(C12&lt;&gt;"",D12&lt;&gt;""),"OK","MISSING")</x:f>
        <x:v>OK</x:v>
      </x:c>
    </x:row>
    <x:row r="13" ht="21.600000381469727" hidden="0" customHeight="1">
      <x:c r="A13" s="23" t="str">
        <x:v>tart</x:v>
      </x:c>
      <x:c r="B13" s="23" t="str">
        <x:v>TASTE_IMPRESSION</x:v>
      </x:c>
      <x:c r="C13" s="23" t="str">
        <x:v>새콤한</x:v>
      </x:c>
      <x:c r="D13" s="23" t="str">
        <x:v>Tart</x:v>
      </x:c>
      <x:c r="E13" s="23" t="n">
        <x:v>12</x:v>
      </x:c>
      <x:c r="F13" s="23" t="str">
        <x:v>CONFIRMED</x:v>
      </x:c>
      <x:c r="G13" s="23" t="str"/>
      <x:c r="H13" s="23" t="str">
        <x:f>IF(COUNTIF($A$2:$A$17,A13)=1,"OK","DUPLICATE")</x:f>
        <x:v>OK</x:v>
      </x:c>
      <x:c r="I13" s="23" t="str">
        <x:f>IF(AND(C13&lt;&gt;"",D13&lt;&gt;""),"OK","MISSING")</x:f>
        <x:v>OK</x:v>
      </x:c>
    </x:row>
    <x:row r="14" ht="21.600000381469727" hidden="0" customHeight="1">
      <x:c r="A14" s="23" t="str">
        <x:v>elegant</x:v>
      </x:c>
      <x:c r="B14" s="23" t="str">
        <x:v>TASTE_IMPRESSION</x:v>
      </x:c>
      <x:c r="C14" s="23" t="str">
        <x:v>우아한</x:v>
      </x:c>
      <x:c r="D14" s="23" t="str">
        <x:v>Elegant</x:v>
      </x:c>
      <x:c r="E14" s="23" t="n">
        <x:v>13</x:v>
      </x:c>
      <x:c r="F14" s="23" t="str">
        <x:v>CONFIRMED</x:v>
      </x:c>
      <x:c r="G14" s="23" t="str"/>
      <x:c r="H14" s="23" t="str">
        <x:f>IF(COUNTIF($A$2:$A$17,A14)=1,"OK","DUPLICATE")</x:f>
        <x:v>OK</x:v>
      </x:c>
      <x:c r="I14" s="23" t="str">
        <x:f>IF(AND(C14&lt;&gt;"",D14&lt;&gt;""),"OK","MISSING")</x:f>
        <x:v>OK</x:v>
      </x:c>
    </x:row>
    <x:row r="15" ht="21.600000381469727" hidden="0" customHeight="1">
      <x:c r="A15" s="23" t="str">
        <x:v>coffee</x:v>
      </x:c>
      <x:c r="B15" s="23" t="str">
        <x:v>FLAVOR_NOTE</x:v>
      </x:c>
      <x:c r="C15" s="23" t="str">
        <x:v>커피</x:v>
      </x:c>
      <x:c r="D15" s="23" t="str">
        <x:v>Coffee</x:v>
      </x:c>
      <x:c r="E15" s="23" t="n">
        <x:v>14</x:v>
      </x:c>
      <x:c r="F15" s="23" t="str">
        <x:v>CONFIRMED</x:v>
      </x:c>
      <x:c r="G15" s="23" t="str"/>
      <x:c r="H15" s="23" t="str">
        <x:f>IF(COUNTIF($A$2:$A$17,A15)=1,"OK","DUPLICATE")</x:f>
        <x:v>OK</x:v>
      </x:c>
      <x:c r="I15" s="23" t="str">
        <x:f>IF(AND(C15&lt;&gt;"",D15&lt;&gt;""),"OK","MISSING")</x:f>
        <x:v>OK</x:v>
      </x:c>
    </x:row>
    <x:row r="16" ht="21.600000381469727" hidden="0" customHeight="1">
      <x:c r="A16" s="23" t="str">
        <x:v>tropical_fruit</x:v>
      </x:c>
      <x:c r="B16" s="23" t="str">
        <x:v>FLAVOR_NOTE</x:v>
      </x:c>
      <x:c r="C16" s="23" t="str">
        <x:v>열대과일</x:v>
      </x:c>
      <x:c r="D16" s="23" t="str">
        <x:v>Tropical Fruit</x:v>
      </x:c>
      <x:c r="E16" s="23" t="n">
        <x:v>15</x:v>
      </x:c>
      <x:c r="F16" s="23" t="str">
        <x:v>CONFIRMED</x:v>
      </x:c>
      <x:c r="G16" s="23" t="str"/>
      <x:c r="H16" s="23" t="str">
        <x:f>IF(COUNTIF($A$2:$A$17,A16)=1,"OK","DUPLICATE")</x:f>
        <x:v>OK</x:v>
      </x:c>
      <x:c r="I16" s="23" t="str">
        <x:f>IF(AND(C16&lt;&gt;"",D16&lt;&gt;""),"OK","MISSING")</x:f>
        <x:v>OK</x:v>
      </x:c>
    </x:row>
    <x:row r="17" ht="21.600000381469727" hidden="0" customHeight="1">
      <x:c r="A17" s="23" t="str">
        <x:v>mint</x:v>
      </x:c>
      <x:c r="B17" s="23" t="str">
        <x:v>FLAVOR_NOTE</x:v>
      </x:c>
      <x:c r="C17" s="23" t="str">
        <x:v>민트</x:v>
      </x:c>
      <x:c r="D17" s="23" t="str">
        <x:v>Mint</x:v>
      </x:c>
      <x:c r="E17" s="23" t="n">
        <x:v>16</x:v>
      </x:c>
      <x:c r="F17" s="23" t="str">
        <x:v>CONFIRMED</x:v>
      </x:c>
      <x:c r="G17" s="23" t="str"/>
      <x:c r="H17" s="23" t="str">
        <x:f>IF(COUNTIF($A$2:$A$17,A17)=1,"OK","DUPLICATE")</x:f>
        <x:v>OK</x:v>
      </x:c>
      <x:c r="I17" s="23" t="str">
        <x:f>IF(AND(C17&lt;&gt;"",D17&lt;&gt;""),"OK","MISSING")</x:f>
        <x:v>OK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8" customHeight="1">
      <x:c r="A1" s="19" t="str">
        <x:v>cocktail_id</x:v>
      </x:c>
      <x:c r="B1" s="19" t="str">
        <x:v>tag_id</x:v>
      </x:c>
      <x:c r="C1" s="19" t="str">
        <x:v>sort_order</x:v>
      </x:c>
      <x:c r="D1" s="19" t="str">
        <x:v>qa_cocktail_fk</x:v>
      </x:c>
      <x:c r="E1" s="19" t="str">
        <x:v>qa_tag_fk</x:v>
      </x:c>
    </x:row>
    <x:row r="2" ht="15" hidden="0" customHeight="1">
      <x:c r="A2" s="23" t="str">
        <x:v>dry_martini</x:v>
      </x:c>
      <x:c r="B2" s="23" t="str">
        <x:v>bitter</x:v>
      </x:c>
      <x:c r="C2" s="23" t="n">
        <x:v>1</x:v>
      </x:c>
      <x:c r="D2" s="23" t="str">
        <x:f>IF(COUNTIF(Cocktails!$A$2:$A$30,A2)=1,"OK","BAD_FK")</x:f>
        <x:v>OK</x:v>
      </x:c>
      <x:c r="E2" s="23" t="str">
        <x:f>IF(COUNTIF(Tags!$A$2:$A$17,B2)=1,"OK","BAD_FK")</x:f>
        <x:v>OK</x:v>
      </x:c>
    </x:row>
    <x:row r="3" ht="15" hidden="0" customHeight="1">
      <x:c r="A3" s="23" t="str">
        <x:v>dry_martini</x:v>
      </x:c>
      <x:c r="B3" s="23" t="str">
        <x:v>classic</x:v>
      </x:c>
      <x:c r="C3" s="23" t="n">
        <x:v>2</x:v>
      </x:c>
      <x:c r="D3" s="23" t="str">
        <x:f>IF(COUNTIF(Cocktails!$A$2:$A$30,A3)=1,"OK","BAD_FK")</x:f>
        <x:v>OK</x:v>
      </x:c>
      <x:c r="E3" s="23" t="str">
        <x:f>IF(COUNTIF(Tags!$A$2:$A$17,B3)=1,"OK","BAD_FK")</x:f>
        <x:v>OK</x:v>
      </x:c>
    </x:row>
    <x:row r="4" ht="15" hidden="0" customHeight="1">
      <x:c r="A4" s="23" t="str">
        <x:v>dry_martini</x:v>
      </x:c>
      <x:c r="B4" s="23" t="str">
        <x:v>strong</x:v>
      </x:c>
      <x:c r="C4" s="23" t="n">
        <x:v>3</x:v>
      </x:c>
      <x:c r="D4" s="23" t="str">
        <x:f>IF(COUNTIF(Cocktails!$A$2:$A$30,A4)=1,"OK","BAD_FK")</x:f>
        <x:v>OK</x:v>
      </x:c>
      <x:c r="E4" s="23" t="str">
        <x:f>IF(COUNTIF(Tags!$A$2:$A$17,B4)=1,"OK","BAD_FK")</x:f>
        <x:v>OK</x:v>
      </x:c>
    </x:row>
    <x:row r="5" ht="21.600000381469727" hidden="0" customHeight="1">
      <x:c r="A5" s="23" t="str">
        <x:v>cosmopolitan</x:v>
      </x:c>
      <x:c r="B5" s="23" t="str">
        <x:v>fresh</x:v>
      </x:c>
      <x:c r="C5" s="23" t="n">
        <x:v>1</x:v>
      </x:c>
      <x:c r="D5" s="23" t="str">
        <x:f>IF(COUNTIF(Cocktails!$A$2:$A$30,A5)=1,"OK","BAD_FK")</x:f>
        <x:v>OK</x:v>
      </x:c>
      <x:c r="E5" s="23" t="str">
        <x:f>IF(COUNTIF(Tags!$A$2:$A$17,B5)=1,"OK","BAD_FK")</x:f>
        <x:v>OK</x:v>
      </x:c>
    </x:row>
    <x:row r="6" ht="21.600000381469727" hidden="0" customHeight="1">
      <x:c r="A6" s="23" t="str">
        <x:v>cosmopolitan</x:v>
      </x:c>
      <x:c r="B6" s="23" t="str">
        <x:v>smooth</x:v>
      </x:c>
      <x:c r="C6" s="23" t="n">
        <x:v>2</x:v>
      </x:c>
      <x:c r="D6" s="23" t="str">
        <x:f>IF(COUNTIF(Cocktails!$A$2:$A$30,A6)=1,"OK","BAD_FK")</x:f>
        <x:v>OK</x:v>
      </x:c>
      <x:c r="E6" s="23" t="str">
        <x:f>IF(COUNTIF(Tags!$A$2:$A$17,B6)=1,"OK","BAD_FK")</x:f>
        <x:v>OK</x:v>
      </x:c>
    </x:row>
    <x:row r="7" ht="15" hidden="0" customHeight="1">
      <x:c r="A7" s="23" t="str">
        <x:v>gin_fizz</x:v>
      </x:c>
      <x:c r="B7" s="23" t="str">
        <x:v>fresh</x:v>
      </x:c>
      <x:c r="C7" s="23" t="n">
        <x:v>1</x:v>
      </x:c>
      <x:c r="D7" s="23" t="str">
        <x:f>IF(COUNTIF(Cocktails!$A$2:$A$30,A7)=1,"OK","BAD_FK")</x:f>
        <x:v>OK</x:v>
      </x:c>
      <x:c r="E7" s="23" t="str">
        <x:f>IF(COUNTIF(Tags!$A$2:$A$17,B7)=1,"OK","BAD_FK")</x:f>
        <x:v>OK</x:v>
      </x:c>
    </x:row>
    <x:row r="8" ht="15" hidden="0" customHeight="1">
      <x:c r="A8" s="23" t="str">
        <x:v>gin_fizz</x:v>
      </x:c>
      <x:c r="B8" s="23" t="str">
        <x:v>classic</x:v>
      </x:c>
      <x:c r="C8" s="23" t="n">
        <x:v>2</x:v>
      </x:c>
      <x:c r="D8" s="23" t="str">
        <x:f>IF(COUNTIF(Cocktails!$A$2:$A$30,A8)=1,"OK","BAD_FK")</x:f>
        <x:v>OK</x:v>
      </x:c>
      <x:c r="E8" s="23" t="str">
        <x:f>IF(COUNTIF(Tags!$A$2:$A$17,B8)=1,"OK","BAD_FK")</x:f>
        <x:v>OK</x:v>
      </x:c>
    </x:row>
    <x:row r="9" ht="15" hidden="0" customHeight="1">
      <x:c r="A9" s="23" t="str">
        <x:v>gin_fizz</x:v>
      </x:c>
      <x:c r="B9" s="23" t="str">
        <x:v>crisp</x:v>
      </x:c>
      <x:c r="C9" s="23" t="n">
        <x:v>3</x:v>
      </x:c>
      <x:c r="D9" s="23" t="str">
        <x:f>IF(COUNTIF(Cocktails!$A$2:$A$30,A9)=1,"OK","BAD_FK")</x:f>
        <x:v>OK</x:v>
      </x:c>
      <x:c r="E9" s="23" t="str">
        <x:f>IF(COUNTIF(Tags!$A$2:$A$17,B9)=1,"OK","BAD_FK")</x:f>
        <x:v>OK</x:v>
      </x:c>
    </x:row>
    <x:row r="10" ht="15" hidden="0" customHeight="1">
      <x:c r="A10" s="23" t="str">
        <x:v>kahlua_milk</x:v>
      </x:c>
      <x:c r="B10" s="23" t="str">
        <x:v>sweet</x:v>
      </x:c>
      <x:c r="C10" s="23" t="n">
        <x:v>1</x:v>
      </x:c>
      <x:c r="D10" s="23" t="str">
        <x:f>IF(COUNTIF(Cocktails!$A$2:$A$30,A10)=1,"OK","BAD_FK")</x:f>
        <x:v>OK</x:v>
      </x:c>
      <x:c r="E10" s="23" t="str">
        <x:f>IF(COUNTIF(Tags!$A$2:$A$17,B10)=1,"OK","BAD_FK")</x:f>
        <x:v>OK</x:v>
      </x:c>
    </x:row>
    <x:row r="11" ht="15" hidden="0" customHeight="1">
      <x:c r="A11" s="23" t="str">
        <x:v>kahlua_milk</x:v>
      </x:c>
      <x:c r="B11" s="23" t="str">
        <x:v>smooth</x:v>
      </x:c>
      <x:c r="C11" s="23" t="n">
        <x:v>2</x:v>
      </x:c>
      <x:c r="D11" s="23" t="str">
        <x:f>IF(COUNTIF(Cocktails!$A$2:$A$30,A11)=1,"OK","BAD_FK")</x:f>
        <x:v>OK</x:v>
      </x:c>
      <x:c r="E11" s="23" t="str">
        <x:f>IF(COUNTIF(Tags!$A$2:$A$17,B11)=1,"OK","BAD_FK")</x:f>
        <x:v>OK</x:v>
      </x:c>
    </x:row>
    <x:row r="12" ht="15" hidden="0" customHeight="1">
      <x:c r="A12" s="23" t="str">
        <x:v>gin_tonic</x:v>
      </x:c>
      <x:c r="B12" s="23" t="str">
        <x:v>fresh</x:v>
      </x:c>
      <x:c r="C12" s="23" t="n">
        <x:v>1</x:v>
      </x:c>
      <x:c r="D12" s="23" t="str">
        <x:f>IF(COUNTIF(Cocktails!$A$2:$A$30,A12)=1,"OK","BAD_FK")</x:f>
        <x:v>OK</x:v>
      </x:c>
      <x:c r="E12" s="23" t="str">
        <x:f>IF(COUNTIF(Tags!$A$2:$A$17,B12)=1,"OK","BAD_FK")</x:f>
        <x:v>OK</x:v>
      </x:c>
    </x:row>
    <x:row r="13" ht="15" hidden="0" customHeight="1">
      <x:c r="A13" s="23" t="str">
        <x:v>gin_tonic</x:v>
      </x:c>
      <x:c r="B13" s="23" t="str">
        <x:v>crisp</x:v>
      </x:c>
      <x:c r="C13" s="23" t="n">
        <x:v>2</x:v>
      </x:c>
      <x:c r="D13" s="23" t="str">
        <x:f>IF(COUNTIF(Cocktails!$A$2:$A$30,A13)=1,"OK","BAD_FK")</x:f>
        <x:v>OK</x:v>
      </x:c>
      <x:c r="E13" s="23" t="str">
        <x:f>IF(COUNTIF(Tags!$A$2:$A$17,B13)=1,"OK","BAD_FK")</x:f>
        <x:v>OK</x:v>
      </x:c>
    </x:row>
    <x:row r="14" ht="15" hidden="0" customHeight="1">
      <x:c r="A14" s="23" t="str">
        <x:v>gin_tonic</x:v>
      </x:c>
      <x:c r="B14" s="23" t="str">
        <x:v>classic</x:v>
      </x:c>
      <x:c r="C14" s="23" t="n">
        <x:v>3</x:v>
      </x:c>
      <x:c r="D14" s="23" t="str">
        <x:f>IF(COUNTIF(Cocktails!$A$2:$A$30,A14)=1,"OK","BAD_FK")</x:f>
        <x:v>OK</x:v>
      </x:c>
      <x:c r="E14" s="23" t="str">
        <x:f>IF(COUNTIF(Tags!$A$2:$A$17,B14)=1,"OK","BAD_FK")</x:f>
        <x:v>OK</x:v>
      </x:c>
    </x:row>
    <x:row r="15" ht="15" hidden="0" customHeight="1">
      <x:c r="A15" s="23" t="str">
        <x:v>red_wine</x:v>
      </x:c>
      <x:c r="B15" s="23" t="str">
        <x:v>full_bodied</x:v>
      </x:c>
      <x:c r="C15" s="23" t="n">
        <x:v>1</x:v>
      </x:c>
      <x:c r="D15" s="23" t="str">
        <x:f>IF(COUNTIF(Cocktails!$A$2:$A$30,A15)=1,"OK","BAD_FK")</x:f>
        <x:v>OK</x:v>
      </x:c>
      <x:c r="E15" s="23" t="str">
        <x:f>IF(COUNTIF(Tags!$A$2:$A$17,B15)=1,"OK","BAD_FK")</x:f>
        <x:v>OK</x:v>
      </x:c>
    </x:row>
    <x:row r="16" ht="15" hidden="0" customHeight="1">
      <x:c r="A16" s="23" t="str">
        <x:v>red_wine</x:v>
      </x:c>
      <x:c r="B16" s="23" t="str">
        <x:v>classic</x:v>
      </x:c>
      <x:c r="C16" s="23" t="n">
        <x:v>2</x:v>
      </x:c>
      <x:c r="D16" s="23" t="str">
        <x:f>IF(COUNTIF(Cocktails!$A$2:$A$30,A16)=1,"OK","BAD_FK")</x:f>
        <x:v>OK</x:v>
      </x:c>
      <x:c r="E16" s="23" t="str">
        <x:f>IF(COUNTIF(Tags!$A$2:$A$17,B16)=1,"OK","BAD_FK")</x:f>
        <x:v>OK</x:v>
      </x:c>
    </x:row>
    <x:row r="17" ht="15" hidden="0" customHeight="1">
      <x:c r="A17" s="23" t="str">
        <x:v>bottle_beer</x:v>
      </x:c>
      <x:c r="B17" s="23" t="str">
        <x:v>crisp</x:v>
      </x:c>
      <x:c r="C17" s="23" t="n">
        <x:v>1</x:v>
      </x:c>
      <x:c r="D17" s="23" t="str">
        <x:f>IF(COUNTIF(Cocktails!$A$2:$A$30,A17)=1,"OK","BAD_FK")</x:f>
        <x:v>OK</x:v>
      </x:c>
      <x:c r="E17" s="23" t="str">
        <x:f>IF(COUNTIF(Tags!$A$2:$A$17,B17)=1,"OK","BAD_FK")</x:f>
        <x:v>OK</x:v>
      </x:c>
    </x:row>
    <x:row r="18" ht="15" hidden="0" customHeight="1">
      <x:c r="A18" s="23" t="str">
        <x:v>bottle_beer</x:v>
      </x:c>
      <x:c r="B18" s="23" t="str">
        <x:v>light</x:v>
      </x:c>
      <x:c r="C18" s="23" t="n">
        <x:v>2</x:v>
      </x:c>
      <x:c r="D18" s="23" t="str">
        <x:f>IF(COUNTIF(Cocktails!$A$2:$A$30,A18)=1,"OK","BAD_FK")</x:f>
        <x:v>OK</x:v>
      </x:c>
      <x:c r="E18" s="23" t="str">
        <x:f>IF(COUNTIF(Tags!$A$2:$A$17,B18)=1,"OK","BAD_FK")</x:f>
        <x:v>OK</x:v>
      </x:c>
    </x:row>
    <x:row r="19" ht="15" hidden="0" customHeight="1">
      <x:c r="A19" s="23" t="str">
        <x:v>champagne</x:v>
      </x:c>
      <x:c r="B19" s="23" t="str">
        <x:v>bright</x:v>
      </x:c>
      <x:c r="C19" s="23" t="n">
        <x:v>1</x:v>
      </x:c>
      <x:c r="D19" s="23" t="str">
        <x:f>IF(COUNTIF(Cocktails!$A$2:$A$30,A19)=1,"OK","BAD_FK")</x:f>
        <x:v>OK</x:v>
      </x:c>
      <x:c r="E19" s="23" t="str">
        <x:f>IF(COUNTIF(Tags!$A$2:$A$17,B19)=1,"OK","BAD_FK")</x:f>
        <x:v>OK</x:v>
      </x:c>
    </x:row>
    <x:row r="20" ht="15" hidden="0" customHeight="1">
      <x:c r="A20" s="23" t="str">
        <x:v>champagne</x:v>
      </x:c>
      <x:c r="B20" s="23" t="str">
        <x:v>sweet</x:v>
      </x:c>
      <x:c r="C20" s="23" t="n">
        <x:v>2</x:v>
      </x:c>
      <x:c r="D20" s="23" t="str">
        <x:f>IF(COUNTIF(Cocktails!$A$2:$A$30,A20)=1,"OK","BAD_FK")</x:f>
        <x:v>OK</x:v>
      </x:c>
      <x:c r="E20" s="23" t="str">
        <x:f>IF(COUNTIF(Tags!$A$2:$A$17,B20)=1,"OK","BAD_FK")</x:f>
        <x:v>OK</x:v>
      </x:c>
    </x:row>
    <x:row r="21" ht="15" hidden="0" customHeight="1">
      <x:c r="A21" s="23" t="str">
        <x:v>screwdriver</x:v>
      </x:c>
      <x:c r="B21" s="23" t="str">
        <x:v>sweet</x:v>
      </x:c>
      <x:c r="C21" s="23" t="n">
        <x:v>1</x:v>
      </x:c>
      <x:c r="D21" s="23" t="str">
        <x:f>IF(COUNTIF(Cocktails!$A$2:$A$30,A21)=1,"OK","BAD_FK")</x:f>
        <x:v>OK</x:v>
      </x:c>
      <x:c r="E21" s="23" t="str">
        <x:f>IF(COUNTIF(Tags!$A$2:$A$17,B21)=1,"OK","BAD_FK")</x:f>
        <x:v>OK</x:v>
      </x:c>
    </x:row>
    <x:row r="22" ht="15" hidden="0" customHeight="1">
      <x:c r="A22" s="23" t="str">
        <x:v>screwdriver</x:v>
      </x:c>
      <x:c r="B22" s="23" t="str">
        <x:v>smooth</x:v>
      </x:c>
      <x:c r="C22" s="23" t="n">
        <x:v>2</x:v>
      </x:c>
      <x:c r="D22" s="23" t="str">
        <x:f>IF(COUNTIF(Cocktails!$A$2:$A$30,A22)=1,"OK","BAD_FK")</x:f>
        <x:v>OK</x:v>
      </x:c>
      <x:c r="E22" s="23" t="str">
        <x:f>IF(COUNTIF(Tags!$A$2:$A$17,B22)=1,"OK","BAD_FK")</x:f>
        <x:v>OK</x:v>
      </x:c>
    </x:row>
    <x:row r="23" ht="21.600000381469727" hidden="0" customHeight="1">
      <x:c r="A23" s="23" t="str">
        <x:v>moscow_mule</x:v>
      </x:c>
      <x:c r="B23" s="23" t="str">
        <x:v>crisp</x:v>
      </x:c>
      <x:c r="C23" s="23" t="n">
        <x:v>1</x:v>
      </x:c>
      <x:c r="D23" s="23" t="str">
        <x:f>IF(COUNTIF(Cocktails!$A$2:$A$30,A23)=1,"OK","BAD_FK")</x:f>
        <x:v>OK</x:v>
      </x:c>
      <x:c r="E23" s="23" t="str">
        <x:f>IF(COUNTIF(Tags!$A$2:$A$17,B23)=1,"OK","BAD_FK")</x:f>
        <x:v>OK</x:v>
      </x:c>
    </x:row>
    <x:row r="24" ht="21.600000381469727" hidden="0" customHeight="1">
      <x:c r="A24" s="23" t="str">
        <x:v>moscow_mule</x:v>
      </x:c>
      <x:c r="B24" s="23" t="str">
        <x:v>spicy</x:v>
      </x:c>
      <x:c r="C24" s="23" t="n">
        <x:v>2</x:v>
      </x:c>
      <x:c r="D24" s="23" t="str">
        <x:f>IF(COUNTIF(Cocktails!$A$2:$A$30,A24)=1,"OK","BAD_FK")</x:f>
        <x:v>OK</x:v>
      </x:c>
      <x:c r="E24" s="23" t="str">
        <x:f>IF(COUNTIF(Tags!$A$2:$A$17,B24)=1,"OK","BAD_FK")</x:f>
        <x:v>OK</x:v>
      </x:c>
    </x:row>
    <x:row r="25" ht="21.600000381469727" hidden="0" customHeight="1">
      <x:c r="A25" s="23" t="str">
        <x:v>tequila_sunrise</x:v>
      </x:c>
      <x:c r="B25" s="23" t="str">
        <x:v>sweet</x:v>
      </x:c>
      <x:c r="C25" s="23" t="n">
        <x:v>1</x:v>
      </x:c>
      <x:c r="D25" s="23" t="str">
        <x:f>IF(COUNTIF(Cocktails!$A$2:$A$30,A25)=1,"OK","BAD_FK")</x:f>
        <x:v>OK</x:v>
      </x:c>
      <x:c r="E25" s="23" t="str">
        <x:f>IF(COUNTIF(Tags!$A$2:$A$17,B25)=1,"OK","BAD_FK")</x:f>
        <x:v>OK</x:v>
      </x:c>
    </x:row>
    <x:row r="26" ht="21.600000381469727" hidden="0" customHeight="1">
      <x:c r="A26" s="23" t="str">
        <x:v>tequila_sunrise</x:v>
      </x:c>
      <x:c r="B26" s="23" t="str">
        <x:v>bright</x:v>
      </x:c>
      <x:c r="C26" s="23" t="n">
        <x:v>2</x:v>
      </x:c>
      <x:c r="D26" s="23" t="str">
        <x:f>IF(COUNTIF(Cocktails!$A$2:$A$30,A26)=1,"OK","BAD_FK")</x:f>
        <x:v>OK</x:v>
      </x:c>
      <x:c r="E26" s="23" t="str">
        <x:f>IF(COUNTIF(Tags!$A$2:$A$17,B26)=1,"OK","BAD_FK")</x:f>
        <x:v>OK</x:v>
      </x:c>
    </x:row>
    <x:row r="27" ht="15" hidden="0" customHeight="1">
      <x:c r="A27" s="23" t="str">
        <x:v>godfather</x:v>
      </x:c>
      <x:c r="B27" s="23" t="str">
        <x:v>full_bodied</x:v>
      </x:c>
      <x:c r="C27" s="23" t="n">
        <x:v>1</x:v>
      </x:c>
      <x:c r="D27" s="23" t="str">
        <x:f>IF(COUNTIF(Cocktails!$A$2:$A$30,A27)=1,"OK","BAD_FK")</x:f>
        <x:v>OK</x:v>
      </x:c>
      <x:c r="E27" s="23" t="str">
        <x:f>IF(COUNTIF(Tags!$A$2:$A$17,B27)=1,"OK","BAD_FK")</x:f>
        <x:v>OK</x:v>
      </x:c>
    </x:row>
    <x:row r="28" ht="15" hidden="0" customHeight="1">
      <x:c r="A28" s="23" t="str">
        <x:v>godfather</x:v>
      </x:c>
      <x:c r="B28" s="23" t="str">
        <x:v>classic</x:v>
      </x:c>
      <x:c r="C28" s="23" t="n">
        <x:v>2</x:v>
      </x:c>
      <x:c r="D28" s="23" t="str">
        <x:f>IF(COUNTIF(Cocktails!$A$2:$A$30,A28)=1,"OK","BAD_FK")</x:f>
        <x:v>OK</x:v>
      </x:c>
      <x:c r="E28" s="23" t="str">
        <x:f>IF(COUNTIF(Tags!$A$2:$A$17,B28)=1,"OK","BAD_FK")</x:f>
        <x:v>OK</x:v>
      </x:c>
    </x:row>
    <x:row r="29" ht="15" hidden="0" customHeight="1">
      <x:c r="A29" s="23" t="str">
        <x:v>godfather</x:v>
      </x:c>
      <x:c r="B29" s="23" t="str">
        <x:v>sweet</x:v>
      </x:c>
      <x:c r="C29" s="23" t="n">
        <x:v>3</x:v>
      </x:c>
      <x:c r="D29" s="23" t="str">
        <x:f>IF(COUNTIF(Cocktails!$A$2:$A$30,A29)=1,"OK","BAD_FK")</x:f>
        <x:v>OK</x:v>
      </x:c>
      <x:c r="E29" s="23" t="str">
        <x:f>IF(COUNTIF(Tags!$A$2:$A$17,B29)=1,"OK","BAD_FK")</x:f>
        <x:v>OK</x:v>
      </x:c>
    </x:row>
    <x:row r="30" ht="15" hidden="0" customHeight="1">
      <x:c r="A30" s="23" t="str">
        <x:v>godmother</x:v>
      </x:c>
      <x:c r="B30" s="23" t="str">
        <x:v>smooth</x:v>
      </x:c>
      <x:c r="C30" s="23" t="n">
        <x:v>1</x:v>
      </x:c>
      <x:c r="D30" s="23" t="str">
        <x:f>IF(COUNTIF(Cocktails!$A$2:$A$30,A30)=1,"OK","BAD_FK")</x:f>
        <x:v>OK</x:v>
      </x:c>
      <x:c r="E30" s="23" t="str">
        <x:f>IF(COUNTIF(Tags!$A$2:$A$17,B30)=1,"OK","BAD_FK")</x:f>
        <x:v>OK</x:v>
      </x:c>
    </x:row>
    <x:row r="31" ht="15" hidden="0" customHeight="1">
      <x:c r="A31" s="23" t="str">
        <x:v>godmother</x:v>
      </x:c>
      <x:c r="B31" s="23" t="str">
        <x:v>sweet</x:v>
      </x:c>
      <x:c r="C31" s="23" t="n">
        <x:v>2</x:v>
      </x:c>
      <x:c r="D31" s="23" t="str">
        <x:f>IF(COUNTIF(Cocktails!$A$2:$A$30,A31)=1,"OK","BAD_FK")</x:f>
        <x:v>OK</x:v>
      </x:c>
      <x:c r="E31" s="23" t="str">
        <x:f>IF(COUNTIF(Tags!$A$2:$A$17,B31)=1,"OK","BAD_FK")</x:f>
        <x:v>OK</x:v>
      </x:c>
    </x:row>
    <x:row r="32" ht="15" hidden="0" customHeight="1">
      <x:c r="A32" s="23" t="str">
        <x:v>godmother</x:v>
      </x:c>
      <x:c r="B32" s="23" t="str">
        <x:v>classic</x:v>
      </x:c>
      <x:c r="C32" s="23" t="n">
        <x:v>3</x:v>
      </x:c>
      <x:c r="D32" s="23" t="str">
        <x:f>IF(COUNTIF(Cocktails!$A$2:$A$30,A32)=1,"OK","BAD_FK")</x:f>
        <x:v>OK</x:v>
      </x:c>
      <x:c r="E32" s="23" t="str">
        <x:f>IF(COUNTIF(Tags!$A$2:$A$17,B32)=1,"OK","BAD_FK")</x:f>
        <x:v>OK</x:v>
      </x:c>
    </x:row>
    <x:row r="33" ht="21.600000381469727" hidden="0" customHeight="1">
      <x:c r="A33" s="23" t="str">
        <x:v>french_connection</x:v>
      </x:c>
      <x:c r="B33" s="23" t="str">
        <x:v>full_bodied</x:v>
      </x:c>
      <x:c r="C33" s="23" t="n">
        <x:v>1</x:v>
      </x:c>
      <x:c r="D33" s="23" t="str">
        <x:f>IF(COUNTIF(Cocktails!$A$2:$A$30,A33)=1,"OK","BAD_FK")</x:f>
        <x:v>OK</x:v>
      </x:c>
      <x:c r="E33" s="23" t="str">
        <x:f>IF(COUNTIF(Tags!$A$2:$A$17,B33)=1,"OK","BAD_FK")</x:f>
        <x:v>OK</x:v>
      </x:c>
    </x:row>
    <x:row r="34" ht="21.600000381469727" hidden="0" customHeight="1">
      <x:c r="A34" s="23" t="str">
        <x:v>french_connection</x:v>
      </x:c>
      <x:c r="B34" s="23" t="str">
        <x:v>sweet</x:v>
      </x:c>
      <x:c r="C34" s="23" t="n">
        <x:v>2</x:v>
      </x:c>
      <x:c r="D34" s="23" t="str">
        <x:f>IF(COUNTIF(Cocktails!$A$2:$A$30,A34)=1,"OK","BAD_FK")</x:f>
        <x:v>OK</x:v>
      </x:c>
      <x:c r="E34" s="23" t="str">
        <x:f>IF(COUNTIF(Tags!$A$2:$A$17,B34)=1,"OK","BAD_FK")</x:f>
        <x:v>OK</x:v>
      </x:c>
    </x:row>
    <x:row r="35" ht="21.600000381469727" hidden="0" customHeight="1">
      <x:c r="A35" s="23" t="str">
        <x:v>french_connection</x:v>
      </x:c>
      <x:c r="B35" s="23" t="str">
        <x:v>classic</x:v>
      </x:c>
      <x:c r="C35" s="23" t="n">
        <x:v>3</x:v>
      </x:c>
      <x:c r="D35" s="23" t="str">
        <x:f>IF(COUNTIF(Cocktails!$A$2:$A$30,A35)=1,"OK","BAD_FK")</x:f>
        <x:v>OK</x:v>
      </x:c>
      <x:c r="E35" s="23" t="str">
        <x:f>IF(COUNTIF(Tags!$A$2:$A$17,B35)=1,"OK","BAD_FK")</x:f>
        <x:v>OK</x:v>
      </x:c>
    </x:row>
    <x:row r="36" ht="21.600000381469727" hidden="0" customHeight="1">
      <x:c r="A36" s="23" t="str">
        <x:v>whiskey_sour</x:v>
      </x:c>
      <x:c r="B36" s="23" t="str">
        <x:v>tart</x:v>
      </x:c>
      <x:c r="C36" s="23" t="n">
        <x:v>1</x:v>
      </x:c>
      <x:c r="D36" s="23" t="str">
        <x:f>IF(COUNTIF(Cocktails!$A$2:$A$30,A36)=1,"OK","BAD_FK")</x:f>
        <x:v>OK</x:v>
      </x:c>
      <x:c r="E36" s="23" t="str">
        <x:f>IF(COUNTIF(Tags!$A$2:$A$17,B36)=1,"OK","BAD_FK")</x:f>
        <x:v>OK</x:v>
      </x:c>
    </x:row>
    <x:row r="37" ht="21.600000381469727" hidden="0" customHeight="1">
      <x:c r="A37" s="23" t="str">
        <x:v>whiskey_sour</x:v>
      </x:c>
      <x:c r="B37" s="23" t="str">
        <x:v>full_bodied</x:v>
      </x:c>
      <x:c r="C37" s="23" t="n">
        <x:v>2</x:v>
      </x:c>
      <x:c r="D37" s="23" t="str">
        <x:f>IF(COUNTIF(Cocktails!$A$2:$A$30,A37)=1,"OK","BAD_FK")</x:f>
        <x:v>OK</x:v>
      </x:c>
      <x:c r="E37" s="23" t="str">
        <x:f>IF(COUNTIF(Tags!$A$2:$A$17,B37)=1,"OK","BAD_FK")</x:f>
        <x:v>OK</x:v>
      </x:c>
    </x:row>
    <x:row r="38" ht="15" hidden="0" customHeight="1">
      <x:c r="A38" s="23" t="str">
        <x:v>brandy_sour</x:v>
      </x:c>
      <x:c r="B38" s="23" t="str">
        <x:v>tart</x:v>
      </x:c>
      <x:c r="C38" s="23" t="n">
        <x:v>1</x:v>
      </x:c>
      <x:c r="D38" s="23" t="str">
        <x:f>IF(COUNTIF(Cocktails!$A$2:$A$30,A38)=1,"OK","BAD_FK")</x:f>
        <x:v>OK</x:v>
      </x:c>
      <x:c r="E38" s="23" t="str">
        <x:f>IF(COUNTIF(Tags!$A$2:$A$17,B38)=1,"OK","BAD_FK")</x:f>
        <x:v>OK</x:v>
      </x:c>
    </x:row>
    <x:row r="39" ht="15" hidden="0" customHeight="1">
      <x:c r="A39" s="23" t="str">
        <x:v>brandy_sour</x:v>
      </x:c>
      <x:c r="B39" s="23" t="str">
        <x:v>full_bodied</x:v>
      </x:c>
      <x:c r="C39" s="23" t="n">
        <x:v>2</x:v>
      </x:c>
      <x:c r="D39" s="23" t="str">
        <x:f>IF(COUNTIF(Cocktails!$A$2:$A$30,A39)=1,"OK","BAD_FK")</x:f>
        <x:v>OK</x:v>
      </x:c>
      <x:c r="E39" s="23" t="str">
        <x:f>IF(COUNTIF(Tags!$A$2:$A$17,B39)=1,"OK","BAD_FK")</x:f>
        <x:v>OK</x:v>
      </x:c>
    </x:row>
    <x:row r="40" ht="15" hidden="0" customHeight="1">
      <x:c r="A40" s="23" t="str">
        <x:v>margarita</x:v>
      </x:c>
      <x:c r="B40" s="23" t="str">
        <x:v>tart</x:v>
      </x:c>
      <x:c r="C40" s="23" t="n">
        <x:v>1</x:v>
      </x:c>
      <x:c r="D40" s="23" t="str">
        <x:f>IF(COUNTIF(Cocktails!$A$2:$A$30,A40)=1,"OK","BAD_FK")</x:f>
        <x:v>OK</x:v>
      </x:c>
      <x:c r="E40" s="23" t="str">
        <x:f>IF(COUNTIF(Tags!$A$2:$A$17,B40)=1,"OK","BAD_FK")</x:f>
        <x:v>OK</x:v>
      </x:c>
    </x:row>
    <x:row r="41" ht="15" hidden="0" customHeight="1">
      <x:c r="A41" s="23" t="str">
        <x:v>margarita</x:v>
      </x:c>
      <x:c r="B41" s="23" t="str">
        <x:v>strong</x:v>
      </x:c>
      <x:c r="C41" s="23" t="n">
        <x:v>2</x:v>
      </x:c>
      <x:c r="D41" s="23" t="str">
        <x:f>IF(COUNTIF(Cocktails!$A$2:$A$30,A41)=1,"OK","BAD_FK")</x:f>
        <x:v>OK</x:v>
      </x:c>
      <x:c r="E41" s="23" t="str">
        <x:f>IF(COUNTIF(Tags!$A$2:$A$17,B41)=1,"OK","BAD_FK")</x:f>
        <x:v>OK</x:v>
      </x:c>
    </x:row>
    <x:row r="42" ht="15" hidden="0" customHeight="1">
      <x:c r="A42" s="23" t="str">
        <x:v>old_pal</x:v>
      </x:c>
      <x:c r="B42" s="23" t="str">
        <x:v>bitter</x:v>
      </x:c>
      <x:c r="C42" s="23" t="n">
        <x:v>1</x:v>
      </x:c>
      <x:c r="D42" s="23" t="str">
        <x:f>IF(COUNTIF(Cocktails!$A$2:$A$30,A42)=1,"OK","BAD_FK")</x:f>
        <x:v>OK</x:v>
      </x:c>
      <x:c r="E42" s="23" t="str">
        <x:f>IF(COUNTIF(Tags!$A$2:$A$17,B42)=1,"OK","BAD_FK")</x:f>
        <x:v>OK</x:v>
      </x:c>
    </x:row>
    <x:row r="43" ht="15" hidden="0" customHeight="1">
      <x:c r="A43" s="23" t="str">
        <x:v>old_pal</x:v>
      </x:c>
      <x:c r="B43" s="23" t="str">
        <x:v>full_bodied</x:v>
      </x:c>
      <x:c r="C43" s="23" t="n">
        <x:v>2</x:v>
      </x:c>
      <x:c r="D43" s="23" t="str">
        <x:f>IF(COUNTIF(Cocktails!$A$2:$A$30,A43)=1,"OK","BAD_FK")</x:f>
        <x:v>OK</x:v>
      </x:c>
      <x:c r="E43" s="23" t="str">
        <x:f>IF(COUNTIF(Tags!$A$2:$A$17,B43)=1,"OK","BAD_FK")</x:f>
        <x:v>OK</x:v>
      </x:c>
    </x:row>
    <x:row r="44" ht="15" hidden="0" customHeight="1">
      <x:c r="A44" s="23" t="str">
        <x:v>old_pal</x:v>
      </x:c>
      <x:c r="B44" s="23" t="str">
        <x:v>classic</x:v>
      </x:c>
      <x:c r="C44" s="23" t="n">
        <x:v>3</x:v>
      </x:c>
      <x:c r="D44" s="23" t="str">
        <x:f>IF(COUNTIF(Cocktails!$A$2:$A$30,A44)=1,"OK","BAD_FK")</x:f>
        <x:v>OK</x:v>
      </x:c>
      <x:c r="E44" s="23" t="str">
        <x:f>IF(COUNTIF(Tags!$A$2:$A$17,B44)=1,"OK","BAD_FK")</x:f>
        <x:v>OK</x:v>
      </x:c>
    </x:row>
    <x:row r="45" ht="15" hidden="0" customHeight="1">
      <x:c r="A45" s="23" t="str">
        <x:v>bacardi</x:v>
      </x:c>
      <x:c r="B45" s="23" t="str">
        <x:v>tart</x:v>
      </x:c>
      <x:c r="C45" s="23" t="n">
        <x:v>1</x:v>
      </x:c>
      <x:c r="D45" s="23" t="str">
        <x:f>IF(COUNTIF(Cocktails!$A$2:$A$30,A45)=1,"OK","BAD_FK")</x:f>
        <x:v>OK</x:v>
      </x:c>
      <x:c r="E45" s="23" t="str">
        <x:f>IF(COUNTIF(Tags!$A$2:$A$17,B45)=1,"OK","BAD_FK")</x:f>
        <x:v>OK</x:v>
      </x:c>
    </x:row>
    <x:row r="46" ht="15" hidden="0" customHeight="1">
      <x:c r="A46" s="23" t="str">
        <x:v>bacardi</x:v>
      </x:c>
      <x:c r="B46" s="23" t="str">
        <x:v>classic</x:v>
      </x:c>
      <x:c r="C46" s="23" t="n">
        <x:v>2</x:v>
      </x:c>
      <x:c r="D46" s="23" t="str">
        <x:f>IF(COUNTIF(Cocktails!$A$2:$A$30,A46)=1,"OK","BAD_FK")</x:f>
        <x:v>OK</x:v>
      </x:c>
      <x:c r="E46" s="23" t="str">
        <x:f>IF(COUNTIF(Tags!$A$2:$A$17,B46)=1,"OK","BAD_FK")</x:f>
        <x:v>OK</x:v>
      </x:c>
    </x:row>
    <x:row r="47" ht="15" hidden="0" customHeight="1">
      <x:c r="A47" s="23" t="str">
        <x:v>white_lady</x:v>
      </x:c>
      <x:c r="B47" s="23" t="str">
        <x:v>fresh</x:v>
      </x:c>
      <x:c r="C47" s="23" t="n">
        <x:v>1</x:v>
      </x:c>
      <x:c r="D47" s="23" t="str">
        <x:f>IF(COUNTIF(Cocktails!$A$2:$A$30,A47)=1,"OK","BAD_FK")</x:f>
        <x:v>OK</x:v>
      </x:c>
      <x:c r="E47" s="23" t="str">
        <x:f>IF(COUNTIF(Tags!$A$2:$A$17,B47)=1,"OK","BAD_FK")</x:f>
        <x:v>OK</x:v>
      </x:c>
    </x:row>
    <x:row r="48" ht="15" hidden="0" customHeight="1">
      <x:c r="A48" s="23" t="str">
        <x:v>white_lady</x:v>
      </x:c>
      <x:c r="B48" s="23" t="str">
        <x:v>elegant</x:v>
      </x:c>
      <x:c r="C48" s="23" t="n">
        <x:v>2</x:v>
      </x:c>
      <x:c r="D48" s="23" t="str">
        <x:f>IF(COUNTIF(Cocktails!$A$2:$A$30,A48)=1,"OK","BAD_FK")</x:f>
        <x:v>OK</x:v>
      </x:c>
      <x:c r="E48" s="23" t="str">
        <x:f>IF(COUNTIF(Tags!$A$2:$A$17,B48)=1,"OK","BAD_FK")</x:f>
        <x:v>OK</x:v>
      </x:c>
    </x:row>
    <x:row r="49" ht="21.600000381469727" hidden="0" customHeight="1">
      <x:c r="A49" s="23" t="str">
        <x:v>espresso_martini</x:v>
      </x:c>
      <x:c r="B49" s="23" t="str">
        <x:v>sweet</x:v>
      </x:c>
      <x:c r="C49" s="23" t="n">
        <x:v>1</x:v>
      </x:c>
      <x:c r="D49" s="23" t="str">
        <x:f>IF(COUNTIF(Cocktails!$A$2:$A$30,A49)=1,"OK","BAD_FK")</x:f>
        <x:v>OK</x:v>
      </x:c>
      <x:c r="E49" s="23" t="str">
        <x:f>IF(COUNTIF(Tags!$A$2:$A$17,B49)=1,"OK","BAD_FK")</x:f>
        <x:v>OK</x:v>
      </x:c>
    </x:row>
    <x:row r="50" ht="21.600000381469727" hidden="0" customHeight="1">
      <x:c r="A50" s="23" t="str">
        <x:v>espresso_martini</x:v>
      </x:c>
      <x:c r="B50" s="23" t="str">
        <x:v>full_bodied</x:v>
      </x:c>
      <x:c r="C50" s="23" t="n">
        <x:v>2</x:v>
      </x:c>
      <x:c r="D50" s="23" t="str">
        <x:f>IF(COUNTIF(Cocktails!$A$2:$A$30,A50)=1,"OK","BAD_FK")</x:f>
        <x:v>OK</x:v>
      </x:c>
      <x:c r="E50" s="23" t="str">
        <x:f>IF(COUNTIF(Tags!$A$2:$A$17,B50)=1,"OK","BAD_FK")</x:f>
        <x:v>OK</x:v>
      </x:c>
    </x:row>
    <x:row r="51" ht="21.600000381469727" hidden="0" customHeight="1">
      <x:c r="A51" s="23" t="str">
        <x:v>espresso_martini</x:v>
      </x:c>
      <x:c r="B51" s="23" t="str">
        <x:v>coffee</x:v>
      </x:c>
      <x:c r="C51" s="23" t="n">
        <x:v>3</x:v>
      </x:c>
      <x:c r="D51" s="23" t="str">
        <x:f>IF(COUNTIF(Cocktails!$A$2:$A$30,A51)=1,"OK","BAD_FK")</x:f>
        <x:v>OK</x:v>
      </x:c>
      <x:c r="E51" s="23" t="str">
        <x:f>IF(COUNTIF(Tags!$A$2:$A$17,B51)=1,"OK","BAD_FK")</x:f>
        <x:v>OK</x:v>
      </x:c>
    </x:row>
    <x:row r="52" ht="15" hidden="0" customHeight="1">
      <x:c r="A52" s="23" t="str">
        <x:v>june_bug</x:v>
      </x:c>
      <x:c r="B52" s="23" t="str">
        <x:v>sweet</x:v>
      </x:c>
      <x:c r="C52" s="23" t="n">
        <x:v>1</x:v>
      </x:c>
      <x:c r="D52" s="23" t="str">
        <x:f>IF(COUNTIF(Cocktails!$A$2:$A$30,A52)=1,"OK","BAD_FK")</x:f>
        <x:v>OK</x:v>
      </x:c>
      <x:c r="E52" s="23" t="str">
        <x:f>IF(COUNTIF(Tags!$A$2:$A$17,B52)=1,"OK","BAD_FK")</x:f>
        <x:v>OK</x:v>
      </x:c>
    </x:row>
    <x:row r="53" ht="15" hidden="0" customHeight="1">
      <x:c r="A53" s="23" t="str">
        <x:v>june_bug</x:v>
      </x:c>
      <x:c r="B53" s="23" t="str">
        <x:v>tropical_fruit</x:v>
      </x:c>
      <x:c r="C53" s="23" t="n">
        <x:v>2</x:v>
      </x:c>
      <x:c r="D53" s="23" t="str">
        <x:f>IF(COUNTIF(Cocktails!$A$2:$A$30,A53)=1,"OK","BAD_FK")</x:f>
        <x:v>OK</x:v>
      </x:c>
      <x:c r="E53" s="23" t="str">
        <x:f>IF(COUNTIF(Tags!$A$2:$A$17,B53)=1,"OK","BAD_FK")</x:f>
        <x:v>OK</x:v>
      </x:c>
    </x:row>
    <x:row r="54" ht="15" hidden="0" customHeight="1">
      <x:c r="A54" s="23" t="str">
        <x:v>june_bug</x:v>
      </x:c>
      <x:c r="B54" s="23" t="str">
        <x:v>bright</x:v>
      </x:c>
      <x:c r="C54" s="23" t="n">
        <x:v>3</x:v>
      </x:c>
      <x:c r="D54" s="23" t="str">
        <x:f>IF(COUNTIF(Cocktails!$A$2:$A$30,A54)=1,"OK","BAD_FK")</x:f>
        <x:v>OK</x:v>
      </x:c>
      <x:c r="E54" s="23" t="str">
        <x:f>IF(COUNTIF(Tags!$A$2:$A$17,B54)=1,"OK","BAD_FK")</x:f>
        <x:v>OK</x:v>
      </x:c>
    </x:row>
    <x:row r="55" ht="15" hidden="0" customHeight="1">
      <x:c r="A55" s="23" t="str">
        <x:v>pink_lady</x:v>
      </x:c>
      <x:c r="B55" s="23" t="str">
        <x:v>sweet</x:v>
      </x:c>
      <x:c r="C55" s="23" t="n">
        <x:v>1</x:v>
      </x:c>
      <x:c r="D55" s="23" t="str">
        <x:f>IF(COUNTIF(Cocktails!$A$2:$A$30,A55)=1,"OK","BAD_FK")</x:f>
        <x:v>OK</x:v>
      </x:c>
      <x:c r="E55" s="23" t="str">
        <x:f>IF(COUNTIF(Tags!$A$2:$A$17,B55)=1,"OK","BAD_FK")</x:f>
        <x:v>OK</x:v>
      </x:c>
    </x:row>
    <x:row r="56" ht="15" hidden="0" customHeight="1">
      <x:c r="A56" s="23" t="str">
        <x:v>pink_lady</x:v>
      </x:c>
      <x:c r="B56" s="23" t="str">
        <x:v>smooth</x:v>
      </x:c>
      <x:c r="C56" s="23" t="n">
        <x:v>2</x:v>
      </x:c>
      <x:c r="D56" s="23" t="str">
        <x:f>IF(COUNTIF(Cocktails!$A$2:$A$30,A56)=1,"OK","BAD_FK")</x:f>
        <x:v>OK</x:v>
      </x:c>
      <x:c r="E56" s="23" t="str">
        <x:f>IF(COUNTIF(Tags!$A$2:$A$17,B56)=1,"OK","BAD_FK")</x:f>
        <x:v>OK</x:v>
      </x:c>
    </x:row>
    <x:row r="57" ht="15" hidden="0" customHeight="1">
      <x:c r="A57" s="23" t="str">
        <x:v>pink_lady</x:v>
      </x:c>
      <x:c r="B57" s="23" t="str">
        <x:v>bright</x:v>
      </x:c>
      <x:c r="C57" s="23" t="n">
        <x:v>3</x:v>
      </x:c>
      <x:c r="D57" s="23" t="str">
        <x:f>IF(COUNTIF(Cocktails!$A$2:$A$30,A57)=1,"OK","BAD_FK")</x:f>
        <x:v>OK</x:v>
      </x:c>
      <x:c r="E57" s="23" t="str">
        <x:f>IF(COUNTIF(Tags!$A$2:$A$17,B57)=1,"OK","BAD_FK")</x:f>
        <x:v>OK</x:v>
      </x:c>
    </x:row>
    <x:row r="58" ht="15" hidden="0" customHeight="1">
      <x:c r="A58" s="23" t="str">
        <x:v>blue_hawaii</x:v>
      </x:c>
      <x:c r="B58" s="23" t="str">
        <x:v>sweet</x:v>
      </x:c>
      <x:c r="C58" s="23" t="n">
        <x:v>1</x:v>
      </x:c>
      <x:c r="D58" s="23" t="str">
        <x:f>IF(COUNTIF(Cocktails!$A$2:$A$30,A58)=1,"OK","BAD_FK")</x:f>
        <x:v>OK</x:v>
      </x:c>
      <x:c r="E58" s="23" t="str">
        <x:f>IF(COUNTIF(Tags!$A$2:$A$17,B58)=1,"OK","BAD_FK")</x:f>
        <x:v>OK</x:v>
      </x:c>
    </x:row>
    <x:row r="59" ht="15" hidden="0" customHeight="1">
      <x:c r="A59" s="23" t="str">
        <x:v>blue_hawaii</x:v>
      </x:c>
      <x:c r="B59" s="23" t="str">
        <x:v>tropical_fruit</x:v>
      </x:c>
      <x:c r="C59" s="23" t="n">
        <x:v>2</x:v>
      </x:c>
      <x:c r="D59" s="23" t="str">
        <x:f>IF(COUNTIF(Cocktails!$A$2:$A$30,A59)=1,"OK","BAD_FK")</x:f>
        <x:v>OK</x:v>
      </x:c>
      <x:c r="E59" s="23" t="str">
        <x:f>IF(COUNTIF(Tags!$A$2:$A$17,B59)=1,"OK","BAD_FK")</x:f>
        <x:v>OK</x:v>
      </x:c>
    </x:row>
    <x:row r="60" ht="15" hidden="0" customHeight="1">
      <x:c r="A60" s="23" t="str">
        <x:v>blue_hawaii</x:v>
      </x:c>
      <x:c r="B60" s="23" t="str">
        <x:v>bright</x:v>
      </x:c>
      <x:c r="C60" s="23" t="n">
        <x:v>3</x:v>
      </x:c>
      <x:c r="D60" s="23" t="str">
        <x:f>IF(COUNTIF(Cocktails!$A$2:$A$30,A60)=1,"OK","BAD_FK")</x:f>
        <x:v>OK</x:v>
      </x:c>
      <x:c r="E60" s="23" t="str">
        <x:f>IF(COUNTIF(Tags!$A$2:$A$17,B60)=1,"OK","BAD_FK")</x:f>
        <x:v>OK</x:v>
      </x:c>
    </x:row>
    <x:row r="61" ht="15" hidden="0" customHeight="1">
      <x:c r="A61" s="23" t="str">
        <x:v>grasshopper</x:v>
      </x:c>
      <x:c r="B61" s="23" t="str">
        <x:v>sweet</x:v>
      </x:c>
      <x:c r="C61" s="23" t="n">
        <x:v>1</x:v>
      </x:c>
      <x:c r="D61" s="23" t="str">
        <x:f>IF(COUNTIF(Cocktails!$A$2:$A$30,A61)=1,"OK","BAD_FK")</x:f>
        <x:v>OK</x:v>
      </x:c>
      <x:c r="E61" s="23" t="str">
        <x:f>IF(COUNTIF(Tags!$A$2:$A$17,B61)=1,"OK","BAD_FK")</x:f>
        <x:v>OK</x:v>
      </x:c>
    </x:row>
    <x:row r="62" ht="15" hidden="0" customHeight="1">
      <x:c r="A62" s="23" t="str">
        <x:v>grasshopper</x:v>
      </x:c>
      <x:c r="B62" s="23" t="str">
        <x:v>smooth</x:v>
      </x:c>
      <x:c r="C62" s="23" t="n">
        <x:v>2</x:v>
      </x:c>
      <x:c r="D62" s="23" t="str">
        <x:f>IF(COUNTIF(Cocktails!$A$2:$A$30,A62)=1,"OK","BAD_FK")</x:f>
        <x:v>OK</x:v>
      </x:c>
      <x:c r="E62" s="23" t="str">
        <x:f>IF(COUNTIF(Tags!$A$2:$A$17,B62)=1,"OK","BAD_FK")</x:f>
        <x:v>OK</x:v>
      </x:c>
    </x:row>
    <x:row r="63" ht="15" hidden="0" customHeight="1">
      <x:c r="A63" s="23" t="str">
        <x:v>grasshopper</x:v>
      </x:c>
      <x:c r="B63" s="23" t="str">
        <x:v>mint</x:v>
      </x:c>
      <x:c r="C63" s="23" t="n">
        <x:v>3</x:v>
      </x:c>
      <x:c r="D63" s="23" t="str">
        <x:f>IF(COUNTIF(Cocktails!$A$2:$A$30,A63)=1,"OK","BAD_FK")</x:f>
        <x:v>OK</x:v>
      </x:c>
      <x:c r="E63" s="23" t="str">
        <x:f>IF(COUNTIF(Tags!$A$2:$A$17,B63)=1,"OK","BAD_FK")</x:f>
        <x:v>OK</x:v>
      </x:c>
    </x:row>
    <x:row r="64" ht="21.600000381469727" hidden="0" customHeight="1">
      <x:c r="A64" s="23" t="str">
        <x:v>blue_sapphire</x:v>
      </x:c>
      <x:c r="B64" s="23" t="str">
        <x:v>sweet</x:v>
      </x:c>
      <x:c r="C64" s="23" t="n">
        <x:v>1</x:v>
      </x:c>
      <x:c r="D64" s="23" t="str">
        <x:f>IF(COUNTIF(Cocktails!$A$2:$A$30,A64)=1,"OK","BAD_FK")</x:f>
        <x:v>OK</x:v>
      </x:c>
      <x:c r="E64" s="23" t="str">
        <x:f>IF(COUNTIF(Tags!$A$2:$A$17,B64)=1,"OK","BAD_FK")</x:f>
        <x:v>OK</x:v>
      </x:c>
    </x:row>
    <x:row r="65" ht="21.600000381469727" hidden="0" customHeight="1">
      <x:c r="A65" s="23" t="str">
        <x:v>blue_sapphire</x:v>
      </x:c>
      <x:c r="B65" s="23" t="str">
        <x:v>tropical_fruit</x:v>
      </x:c>
      <x:c r="C65" s="23" t="n">
        <x:v>2</x:v>
      </x:c>
      <x:c r="D65" s="23" t="str">
        <x:f>IF(COUNTIF(Cocktails!$A$2:$A$30,A65)=1,"OK","BAD_FK")</x:f>
        <x:v>OK</x:v>
      </x:c>
      <x:c r="E65" s="23" t="str">
        <x:f>IF(COUNTIF(Tags!$A$2:$A$17,B65)=1,"OK","BAD_FK")</x:f>
        <x:v>OK</x:v>
      </x:c>
    </x:row>
    <x:row r="66" ht="21.600000381469727" hidden="0" customHeight="1">
      <x:c r="A66" s="23" t="str">
        <x:v>blue_sapphire</x:v>
      </x:c>
      <x:c r="B66" s="23" t="str">
        <x:v>fresh</x:v>
      </x:c>
      <x:c r="C66" s="23" t="n">
        <x:v>3</x:v>
      </x:c>
      <x:c r="D66" s="23" t="str">
        <x:f>IF(COUNTIF(Cocktails!$A$2:$A$30,A66)=1,"OK","BAD_FK")</x:f>
        <x:v>OK</x:v>
      </x:c>
      <x:c r="E66" s="23" t="str">
        <x:f>IF(COUNTIF(Tags!$A$2:$A$17,B66)=1,"OK","BAD_FK")</x:f>
        <x:v>OK</x:v>
      </x:c>
    </x:row>
    <x:row r="67" ht="15" hidden="0" customHeight="1">
      <x:c r="A67" s="23" t="str">
        <x:v>irish_coffee</x:v>
      </x:c>
      <x:c r="B67" s="23" t="str">
        <x:v>sweet</x:v>
      </x:c>
      <x:c r="C67" s="23" t="n">
        <x:v>1</x:v>
      </x:c>
      <x:c r="D67" s="23" t="str">
        <x:f>IF(COUNTIF(Cocktails!$A$2:$A$30,A67)=1,"OK","BAD_FK")</x:f>
        <x:v>OK</x:v>
      </x:c>
      <x:c r="E67" s="23" t="str">
        <x:f>IF(COUNTIF(Tags!$A$2:$A$17,B67)=1,"OK","BAD_FK")</x:f>
        <x:v>OK</x:v>
      </x:c>
    </x:row>
    <x:row r="68" ht="15" hidden="0" customHeight="1">
      <x:c r="A68" s="23" t="str">
        <x:v>irish_coffee</x:v>
      </x:c>
      <x:c r="B68" s="23" t="str">
        <x:v>smooth</x:v>
      </x:c>
      <x:c r="C68" s="23" t="n">
        <x:v>2</x:v>
      </x:c>
      <x:c r="D68" s="23" t="str">
        <x:f>IF(COUNTIF(Cocktails!$A$2:$A$30,A68)=1,"OK","BAD_FK")</x:f>
        <x:v>OK</x:v>
      </x:c>
      <x:c r="E68" s="23" t="str">
        <x:f>IF(COUNTIF(Tags!$A$2:$A$17,B68)=1,"OK","BAD_FK")</x:f>
        <x:v>OK</x:v>
      </x:c>
    </x:row>
    <x:row r="69" ht="15" hidden="0" customHeight="1">
      <x:c r="A69" s="23" t="str">
        <x:v>irish_coffee</x:v>
      </x:c>
      <x:c r="B69" s="23" t="str">
        <x:v>coffee</x:v>
      </x:c>
      <x:c r="C69" s="23" t="n">
        <x:v>3</x:v>
      </x:c>
      <x:c r="D69" s="23" t="str">
        <x:f>IF(COUNTIF(Cocktails!$A$2:$A$30,A69)=1,"OK","BAD_FK")</x:f>
        <x:v>OK</x:v>
      </x:c>
      <x:c r="E69" s="23" t="str">
        <x:f>IF(COUNTIF(Tags!$A$2:$A$17,B69)=1,"OK","BAD_FK")</x:f>
        <x:v>OK</x:v>
      </x:c>
    </x:row>
    <x:row r="70" ht="21.600000381469727" hidden="0" customHeight="1">
      <x:c r="A70" s="23" t="str">
        <x:v>long_island_iced_tea</x:v>
      </x:c>
      <x:c r="B70" s="23" t="str">
        <x:v>strong</x:v>
      </x:c>
      <x:c r="C70" s="23" t="n">
        <x:v>1</x:v>
      </x:c>
      <x:c r="D70" s="23" t="str">
        <x:f>IF(COUNTIF(Cocktails!$A$2:$A$30,A70)=1,"OK","BAD_FK")</x:f>
        <x:v>OK</x:v>
      </x:c>
      <x:c r="E70" s="23" t="str">
        <x:f>IF(COUNTIF(Tags!$A$2:$A$17,B70)=1,"OK","BAD_FK")</x:f>
        <x:v>OK</x:v>
      </x:c>
    </x:row>
    <x:row r="71" ht="21.600000381469727" hidden="0" customHeight="1">
      <x:c r="A71" s="23" t="str">
        <x:v>long_island_iced_tea</x:v>
      </x:c>
      <x:c r="B71" s="23" t="str">
        <x:v>sweet</x:v>
      </x:c>
      <x:c r="C71" s="23" t="n">
        <x:v>2</x:v>
      </x:c>
      <x:c r="D71" s="23" t="str">
        <x:f>IF(COUNTIF(Cocktails!$A$2:$A$30,A71)=1,"OK","BAD_FK")</x:f>
        <x:v>OK</x:v>
      </x:c>
      <x:c r="E71" s="23" t="str">
        <x:f>IF(COUNTIF(Tags!$A$2:$A$17,B71)=1,"OK","BAD_FK")</x:f>
        <x:v>OK</x:v>
      </x:c>
    </x:row>
    <x:row r="72" ht="15" hidden="0" customHeight="1">
      <x:c r="A72" s="23" t="str">
        <x:v>oasis_sunset</x:v>
      </x:c>
      <x:c r="B72" s="23" t="str">
        <x:v>sweet</x:v>
      </x:c>
      <x:c r="C72" s="23" t="n">
        <x:v>1</x:v>
      </x:c>
      <x:c r="D72" s="23" t="str">
        <x:f>IF(COUNTIF(Cocktails!$A$2:$A$30,A72)=1,"OK","BAD_FK")</x:f>
        <x:v>OK</x:v>
      </x:c>
      <x:c r="E72" s="23" t="str">
        <x:f>IF(COUNTIF(Tags!$A$2:$A$17,B72)=1,"OK","BAD_FK")</x:f>
        <x:v>OK</x:v>
      </x:c>
    </x:row>
    <x:row r="73" ht="15" hidden="0" customHeight="1">
      <x:c r="A73" s="23" t="str">
        <x:v>oasis_sunset</x:v>
      </x:c>
      <x:c r="B73" s="23" t="str">
        <x:v>tropical_fruit</x:v>
      </x:c>
      <x:c r="C73" s="23" t="n">
        <x:v>2</x:v>
      </x:c>
      <x:c r="D73" s="23" t="str">
        <x:f>IF(COUNTIF(Cocktails!$A$2:$A$30,A73)=1,"OK","BAD_FK")</x:f>
        <x:v>OK</x:v>
      </x:c>
      <x:c r="E73" s="23" t="str">
        <x:f>IF(COUNTIF(Tags!$A$2:$A$17,B73)=1,"OK","BAD_FK")</x:f>
        <x:v>OK</x:v>
      </x:c>
    </x:row>
    <x:row r="74" ht="15" hidden="0" customHeight="1">
      <x:c r="A74" s="23" t="str">
        <x:v>oasis_sunset</x:v>
      </x:c>
      <x:c r="B74" s="23" t="str">
        <x:v>bright</x:v>
      </x:c>
      <x:c r="C74" s="23" t="n">
        <x:v>3</x:v>
      </x:c>
      <x:c r="D74" s="23" t="str">
        <x:f>IF(COUNTIF(Cocktails!$A$2:$A$30,A74)=1,"OK","BAD_FK")</x:f>
        <x:v>OK</x:v>
      </x:c>
      <x:c r="E74" s="23" t="str">
        <x:f>IF(COUNTIF(Tags!$A$2:$A$17,B74)=1,"OK","BAD_FK")</x:f>
        <x:v>OK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7" hidden="0" customWidth="1"/>
    <x:col min="5" max="5" width="17" hidden="0" customWidth="1"/>
    <x:col min="6" max="6" width="34" hidden="0" customWidth="1"/>
    <x:col min="7" max="7" width="34" hidden="0" customWidth="1"/>
  </x:cols>
  <x:sheetData>
    <x:row r="1" ht="28" customHeight="1">
      <x:c r="A1" s="19" t="str">
        <x:v>config_key</x:v>
      </x:c>
      <x:c r="B1" s="19" t="str">
        <x:v>value_type</x:v>
      </x:c>
      <x:c r="C1" s="19" t="str">
        <x:v>value</x:v>
      </x:c>
      <x:c r="D1" s="19" t="str">
        <x:v>unit</x:v>
      </x:c>
      <x:c r="E1" s="19" t="str">
        <x:v>status</x:v>
      </x:c>
      <x:c r="F1" s="19" t="str">
        <x:v>description_ko</x:v>
      </x:c>
      <x:c r="G1" s="19" t="str">
        <x:v>description_en</x:v>
      </x:c>
    </x:row>
    <x:row r="2" ht="43.20000076293945" hidden="0" customHeight="1">
      <x:c r="A2" s="23" t="str">
        <x:v>story_day_zero_is_tutorial</x:v>
      </x:c>
      <x:c r="B2" s="23" t="str">
        <x:v>BOOL</x:v>
      </x:c>
      <x:c r="C2" s="28" t="b">
        <x:v>1</x:v>
      </x:c>
      <x:c r="D2" s="23" t="str">
        <x:v>bool</x:v>
      </x:c>
      <x:c r="E2" s="23" t="str">
        <x:v>CONFIRMED</x:v>
      </x:c>
      <x:c r="F2" s="23" t="str">
        <x:v>튜토리얼을 스토리 Day 0으로 사용한다.</x:v>
      </x:c>
      <x:c r="G2" s="23" t="str">
        <x:v>Use story Day 0 for the tutorial.</x:v>
      </x:c>
    </x:row>
    <x:row r="3" ht="64.80000305175781" hidden="0" customHeight="1">
      <x:c r="A3" s="23" t="str">
        <x:v>legacy_engine_day_offset</x:v>
      </x:c>
      <x:c r="B3" s="23" t="str">
        <x:v>INT</x:v>
      </x:c>
      <x:c r="C3" s="23" t="n">
        <x:v>1</x:v>
      </x:c>
      <x:c r="D3" s="23" t="str">
        <x:v>day</x:v>
      </x:c>
      <x:c r="E3" s="23" t="str">
        <x:v>MIGRATION_ONLY</x:v>
      </x:c>
      <x:c r="F3" s="23" t="str">
        <x:v>현행 엔진에 넘길 때만 story day에 1을 더한다.</x:v>
      </x:c>
      <x:c r="G3" s="23" t="str">
        <x:v>Add 1 to the story day only when exporting to the legacy engine.</x:v>
      </x:c>
    </x:row>
    <x:row r="4" ht="64.80000305175781" hidden="0" customHeight="1">
      <x:c r="A4" s="23" t="str">
        <x:v>unit_oz_to_ml</x:v>
      </x:c>
      <x:c r="B4" s="23" t="str">
        <x:v>FLOAT</x:v>
      </x:c>
      <x:c r="C4" s="23" t="n">
        <x:v>30</x:v>
      </x:c>
      <x:c r="D4" s="23" t="str">
        <x:v>ml/oz</x:v>
      </x:c>
      <x:c r="E4" s="23" t="str">
        <x:v>CONFIRMED</x:v>
      </x:c>
      <x:c r="F4" s="23" t="str">
        <x:v>데모 수량 계산용 온스 변환값.</x:v>
      </x:c>
      <x:c r="G4" s="23" t="str">
        <x:v>Ounce conversion used by demo quantity scoring.</x:v>
      </x:c>
    </x:row>
    <x:row r="5" ht="64.80000305175781" hidden="0" customHeight="1">
      <x:c r="A5" s="23" t="str">
        <x:v>unit_tsp_to_ml</x:v>
      </x:c>
      <x:c r="B5" s="23" t="str">
        <x:v>FLOAT</x:v>
      </x:c>
      <x:c r="C5" s="23" t="n">
        <x:v>5</x:v>
      </x:c>
      <x:c r="D5" s="23" t="str">
        <x:v>ml/tsp</x:v>
      </x:c>
      <x:c r="E5" s="23" t="str">
        <x:v>CONFIRMED</x:v>
      </x:c>
      <x:c r="F5" s="23" t="str">
        <x:v>데모 수량 계산용 티스푼 변환값.</x:v>
      </x:c>
      <x:c r="G5" s="23" t="str">
        <x:v>Teaspoon conversion used by demo quantity scoring.</x:v>
      </x:c>
    </x:row>
    <x:row r="6" ht="54" hidden="0" customHeight="1">
      <x:c r="A6" s="23" t="str">
        <x:v>pause_coaster_during_craft</x:v>
      </x:c>
      <x:c r="B6" s="23" t="str">
        <x:v>BOOL</x:v>
      </x:c>
      <x:c r="C6" s="28" t="b">
        <x:v>1</x:v>
      </x:c>
      <x:c r="D6" s="23" t="str">
        <x:v>bool</x:v>
      </x:c>
      <x:c r="E6" s="23" t="str">
        <x:v>CONFIRMED</x:v>
      </x:c>
      <x:c r="F6" s="23" t="str">
        <x:v>제조 흐름 동안 코스터 대기 타이머를 멈춘다.</x:v>
      </x:c>
      <x:c r="G6" s="23" t="str">
        <x:v>Pause coaster patience during the crafting flow.</x:v>
      </x:c>
    </x:row>
    <x:row r="7" ht="54" hidden="0" customHeight="1">
      <x:c r="A7" s="23" t="str">
        <x:v>pause_serve_during_craft</x:v>
      </x:c>
      <x:c r="B7" s="23" t="str">
        <x:v>BOOL</x:v>
      </x:c>
      <x:c r="C7" s="28" t="b">
        <x:v>1</x:v>
      </x:c>
      <x:c r="D7" s="23" t="str">
        <x:v>bool</x:v>
      </x:c>
      <x:c r="E7" s="23" t="str">
        <x:v>CONFIRMED</x:v>
      </x:c>
      <x:c r="F7" s="23" t="str">
        <x:v>제조 흐름 동안 서빙 대기 타이머를 멈춘다.</x:v>
      </x:c>
      <x:c r="G7" s="23" t="str">
        <x:v>Pause serving patience during the crafting flow.</x:v>
      </x:c>
    </x:row>
    <x:row r="8" ht="43.20000076293945" hidden="0" customHeight="1">
      <x:c r="A8" s="23" t="str">
        <x:v>pause_spawn_during_craft</x:v>
      </x:c>
      <x:c r="B8" s="23" t="str">
        <x:v>BOOL</x:v>
      </x:c>
      <x:c r="C8" s="28" t="b">
        <x:v>1</x:v>
      </x:c>
      <x:c r="D8" s="23" t="str">
        <x:v>bool</x:v>
      </x:c>
      <x:c r="E8" s="23" t="str">
        <x:v>CONFIRMED</x:v>
      </x:c>
      <x:c r="F8" s="23" t="str">
        <x:v>제조 흐름 동안 손님 스폰 타이머를 멈춘다.</x:v>
      </x:c>
      <x:c r="G8" s="23" t="str">
        <x:v>Pause guest spawning during the crafting flow.</x:v>
      </x:c>
    </x:row>
    <x:row r="9" ht="54" hidden="0" customHeight="1">
      <x:c r="A9" s="23" t="str">
        <x:v>craft_pause_start_event</x:v>
      </x:c>
      <x:c r="B9" s="23" t="str">
        <x:v>STRING</x:v>
      </x:c>
      <x:c r="C9" s="23" t="str">
        <x:v>COCKTAIL_MENU_ENTER</x:v>
      </x:c>
      <x:c r="D9" s="23" t="str">
        <x:v>event</x:v>
      </x:c>
      <x:c r="E9" s="23" t="str">
        <x:v>CONFIRMED</x:v>
      </x:c>
      <x:c r="F9" s="23" t="str">
        <x:v>칵테일 메뉴에 들어갈 때 운영 타이머를 멈춘다.</x:v>
      </x:c>
      <x:c r="G9" s="23" t="str">
        <x:v>Pause operation timers when the cocktail menu opens.</x:v>
      </x:c>
    </x:row>
    <x:row r="10" ht="54" hidden="0" customHeight="1">
      <x:c r="A10" s="23" t="str">
        <x:v>craft_pause_end_event</x:v>
      </x:c>
      <x:c r="B10" s="23" t="str">
        <x:v>STRING</x:v>
      </x:c>
      <x:c r="C10" s="23" t="str">
        <x:v>RETURN_TO_TABLE_AFTER_SERVE_CHOICE</x:v>
      </x:c>
      <x:c r="D10" s="23" t="str">
        <x:v>event</x:v>
      </x:c>
      <x:c r="E10" s="23" t="str">
        <x:v>CONFIRMED</x:v>
      </x:c>
      <x:c r="F10" s="23" t="str">
        <x:v>테이블 화면으로 돌아올 때 운영 타이머를 다시 시작한다.</x:v>
      </x:c>
      <x:c r="G10" s="23" t="str">
        <x:v>Resume operation timers after returning to the table.</x:v>
      </x:c>
    </x:row>
    <x:row r="11" ht="64.80000305175781" hidden="0" customHeight="1">
      <x:c r="A11" s="23" t="str">
        <x:v>coaster_base_sec</x:v>
      </x:c>
      <x:c r="B11" s="23" t="str">
        <x:v>FLOAT</x:v>
      </x:c>
      <x:c r="C11" s="23" t="n">
        <x:v>22</x:v>
      </x:c>
      <x:c r="D11" s="23" t="str">
        <x:v>sec</x:v>
      </x:c>
      <x:c r="E11" s="23" t="str">
        <x:v>PROPOSED</x:v>
      </x:c>
      <x:c r="F11" s="23" t="str">
        <x:v>티어 없이 성격 배율을 적용하는 코스터 기본 인내심.</x:v>
      </x:c>
      <x:c r="G11" s="23" t="str">
        <x:v>Base coaster patience before applying the personality multiplier.</x:v>
      </x:c>
    </x:row>
    <x:row r="12" ht="32.400001525878906" hidden="0" customHeight="1">
      <x:c r="A12" s="23" t="str">
        <x:v>coaster_min_sec</x:v>
      </x:c>
      <x:c r="B12" s="23" t="str">
        <x:v>FLOAT</x:v>
      </x:c>
      <x:c r="C12" s="23" t="n">
        <x:v>12</x:v>
      </x:c>
      <x:c r="D12" s="23" t="str">
        <x:v>sec</x:v>
      </x:c>
      <x:c r="E12" s="23" t="str">
        <x:v>PROPOSED</x:v>
      </x:c>
      <x:c r="F12" s="23" t="str">
        <x:v>코스터 인내심의 최솟값.</x:v>
      </x:c>
      <x:c r="G12" s="23" t="str">
        <x:v>Minimum coaster patience.</x:v>
      </x:c>
    </x:row>
    <x:row r="13" ht="32.400001525878906" hidden="0" customHeight="1">
      <x:c r="A13" s="23" t="str">
        <x:v>coaster_max_sec</x:v>
      </x:c>
      <x:c r="B13" s="23" t="str">
        <x:v>FLOAT</x:v>
      </x:c>
      <x:c r="C13" s="23" t="n">
        <x:v>60</x:v>
      </x:c>
      <x:c r="D13" s="23" t="str">
        <x:v>sec</x:v>
      </x:c>
      <x:c r="E13" s="23" t="str">
        <x:v>PROPOSED</x:v>
      </x:c>
      <x:c r="F13" s="23" t="str">
        <x:v>코스터 인내심의 최댓값.</x:v>
      </x:c>
      <x:c r="G13" s="23" t="str">
        <x:v>Maximum coaster patience.</x:v>
      </x:c>
    </x:row>
    <x:row r="14" ht="54" hidden="0" customHeight="1">
      <x:c r="A14" s="23" t="str">
        <x:v>serve_grace_sec</x:v>
      </x:c>
      <x:c r="B14" s="23" t="str">
        <x:v>FLOAT</x:v>
      </x:c>
      <x:c r="C14" s="23" t="n">
        <x:v>20</x:v>
      </x:c>
      <x:c r="D14" s="23" t="str">
        <x:v>sec</x:v>
      </x:c>
      <x:c r="E14" s="23" t="str">
        <x:v>PROPOSED</x:v>
      </x:c>
      <x:c r="F14" s="23" t="str">
        <x:v>칵테일 제한시간에 더하는 서빙 대기 여유시간.</x:v>
      </x:c>
      <x:c r="G14" s="23" t="str">
        <x:v>Serving grace period added to the cocktail time limit.</x:v>
      </x:c>
    </x:row>
    <x:row r="15" ht="43.20000076293945" hidden="0" customHeight="1">
      <x:c r="A15" s="23" t="str">
        <x:v>warn_yellow_ratio</x:v>
      </x:c>
      <x:c r="B15" s="23" t="str">
        <x:v>FLOAT</x:v>
      </x:c>
      <x:c r="C15" s="23" t="n">
        <x:v>0.5</x:v>
      </x:c>
      <x:c r="D15" s="23" t="str">
        <x:v>ratio</x:v>
      </x:c>
      <x:c r="E15" s="23" t="str">
        <x:v>CONFIRMED</x:v>
      </x:c>
      <x:c r="F15" s="23" t="str">
        <x:v>인내심 50% 경과 시 첫 경고를 표시한다.</x:v>
      </x:c>
      <x:c r="G15" s="23" t="str">
        <x:v>Show the first patience warning at 50%.</x:v>
      </x:c>
    </x:row>
    <x:row r="16" ht="43.20000076293945" hidden="0" customHeight="1">
      <x:c r="A16" s="23" t="str">
        <x:v>warn_red_ratio</x:v>
      </x:c>
      <x:c r="B16" s="23" t="str">
        <x:v>FLOAT</x:v>
      </x:c>
      <x:c r="C16" s="23" t="n">
        <x:v>0.8</x:v>
      </x:c>
      <x:c r="D16" s="23" t="str">
        <x:v>ratio</x:v>
      </x:c>
      <x:c r="E16" s="23" t="str">
        <x:v>CONFIRMED</x:v>
      </x:c>
      <x:c r="F16" s="23" t="str">
        <x:v>인내심 80% 경과 시 최종 경고를 표시한다.</x:v>
      </x:c>
      <x:c r="G16" s="23" t="str">
        <x:v>Show the final patience warning at 80%.</x:v>
      </x:c>
    </x:row>
    <x:row r="17" ht="54" hidden="0" customHeight="1">
      <x:c r="A17" s="23" t="str">
        <x:v>open_penalty_per_failure</x:v>
      </x:c>
      <x:c r="B17" s="23" t="str">
        <x:v>FLOAT</x:v>
      </x:c>
      <x:c r="C17" s="23" t="n">
        <x:v>15</x:v>
      </x:c>
      <x:c r="D17" s="23" t="str">
        <x:v>point</x:v>
      </x:c>
      <x:c r="E17" s="23" t="str">
        <x:v>PROPOSED</x:v>
      </x:c>
      <x:c r="F17" s="23" t="str">
        <x:v>병따기 실패 1회당 차감 점수.</x:v>
      </x:c>
      <x:c r="G17" s="23" t="str">
        <x:v>Points deducted per failed opening attempt.</x:v>
      </x:c>
    </x:row>
    <x:row r="18" ht="86.4000015258789" hidden="0" customHeight="1">
      <x:c r="A18" s="23" t="str">
        <x:v>shake_target_attempts</x:v>
      </x:c>
      <x:c r="B18" s="23" t="str">
        <x:v>INT</x:v>
      </x:c>
      <x:c r="C18" s="23" t="n">
        <x:v>20</x:v>
      </x:c>
      <x:c r="D18" s="23" t="str">
        <x:v>attempt</x:v>
      </x:c>
      <x:c r="E18" s="23" t="str">
        <x:v>CONFIRMED</x:v>
      </x:c>
      <x:c r="F18" s="23" t="str">
        <x:v>성공과 실패를 합쳐 20회 판정하면 자동 종료한다.</x:v>
      </x:c>
      <x:c r="G18" s="23" t="str">
        <x:v>Auto-complete after 20 resolved shake attempts, including successes and failures.</x:v>
      </x:c>
    </x:row>
    <x:row r="19" ht="75.5999984741211" hidden="0" customHeight="1">
      <x:c r="A19" s="23" t="str">
        <x:v>stir_target_attempts</x:v>
      </x:c>
      <x:c r="B19" s="23" t="str">
        <x:v>INT</x:v>
      </x:c>
      <x:c r="C19" s="23" t="n">
        <x:v>10</x:v>
      </x:c>
      <x:c r="D19" s="23" t="str">
        <x:v>attempt</x:v>
      </x:c>
      <x:c r="E19" s="23" t="str">
        <x:v>CONFIRMED</x:v>
      </x:c>
      <x:c r="F19" s="23" t="str">
        <x:v>성공과 실패를 합쳐 10회 판정하면 자동 종료한다.</x:v>
      </x:c>
      <x:c r="G19" s="23" t="str">
        <x:v>Auto-complete after 10 resolved stir attempts, including successes and failures.</x:v>
      </x:c>
    </x:row>
    <x:row r="20" ht="43.20000076293945" hidden="0" customHeight="1">
      <x:c r="A20" s="23" t="str">
        <x:v>stir_round_limit_sec</x:v>
      </x:c>
      <x:c r="B20" s="23" t="str">
        <x:v>FLOAT</x:v>
      </x:c>
      <x:c r="C20" s="23" t="n">
        <x:v>2</x:v>
      </x:c>
      <x:c r="D20" s="23" t="str">
        <x:v>sec</x:v>
      </x:c>
      <x:c r="E20" s="23" t="str">
        <x:v>CONFIRMED</x:v>
      </x:c>
      <x:c r="F20" s="23" t="str">
        <x:v>한 바퀴를 완성할 수 있는 제한시간.</x:v>
      </x:c>
      <x:c r="G20" s="23" t="str">
        <x:v>Time allowed to complete one stirring circle.</x:v>
      </x:c>
    </x:row>
    <x:row r="21" ht="64.80000305175781" hidden="0" customHeight="1">
      <x:c r="A21" s="23" t="str">
        <x:v>extra_ingredient_penalty</x:v>
      </x:c>
      <x:c r="B21" s="23" t="str">
        <x:v>FLOAT</x:v>
      </x:c>
      <x:c r="C21" s="23" t="n">
        <x:v>10</x:v>
      </x:c>
      <x:c r="D21" s="23" t="str">
        <x:v>point/item</x:v>
      </x:c>
      <x:c r="E21" s="23" t="str">
        <x:v>PROPOSED</x:v>
      </x:c>
      <x:c r="F21" s="23" t="str">
        <x:v>정답 레시피에 없는 직접 선택 재료 1개당 감점.</x:v>
      </x:c>
      <x:c r="G21" s="23" t="str">
        <x:v>Penalty per manually selected ingredient not in the target recipe.</x:v>
      </x:c>
    </x:row>
    <x:row r="22" ht="75.5999984741211" hidden="0" customHeight="1">
      <x:c r="A22" s="23" t="str">
        <x:v>powder_demo_behavior</x:v>
      </x:c>
      <x:c r="B22" s="23" t="str">
        <x:v>STRING</x:v>
      </x:c>
      <x:c r="C22" s="23" t="str">
        <x:v>AUTO_APPLY_UNSCORED</x:v>
      </x:c>
      <x:c r="D22" s="23" t="str">
        <x:v>enum</x:v>
      </x:c>
      <x:c r="E22" s="23" t="str">
        <x:v>CONFIRMED</x:v>
      </x:c>
      <x:c r="F22" s="23" t="str">
        <x:v>데모에서는 파우더를 자동 투입하고 채점에서 제외한다.</x:v>
      </x:c>
      <x:c r="G22" s="23" t="str">
        <x:v>In the demo, auto-apply powder steps and exclude them from scoring.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14" hidden="0" customWidth="1"/>
    <x:col min="9" max="9" width="22" hidden="0" customWidth="1"/>
    <x:col min="10" max="10" width="17" hidden="0" customWidth="1"/>
    <x:col min="11" max="11" width="14" hidden="0" customWidth="1"/>
    <x:col min="12" max="12" width="14" hidden="0" customWidth="1"/>
  </x:cols>
  <x:sheetData>
    <x:row r="1" ht="28" customHeight="1">
      <x:c r="A1" s="19" t="str">
        <x:v>gimmick_id</x:v>
      </x:c>
      <x:c r="B1" s="19" t="str">
        <x:v>priority</x:v>
      </x:c>
      <x:c r="C1" s="19" t="str">
        <x:v>generation_basis_ko</x:v>
      </x:c>
      <x:c r="D1" s="19" t="str">
        <x:v>generation_basis_en</x:v>
      </x:c>
      <x:c r="E1" s="19" t="str">
        <x:v>completion_rule_ko</x:v>
      </x:c>
      <x:c r="F1" s="19" t="str">
        <x:v>completion_rule_en</x:v>
      </x:c>
      <x:c r="G1" s="19" t="str">
        <x:v>score_formula</x:v>
      </x:c>
      <x:c r="H1" s="19" t="str">
        <x:v>demo_behavior</x:v>
      </x:c>
      <x:c r="I1" s="19" t="str">
        <x:v>config_refs</x:v>
      </x:c>
      <x:c r="J1" s="19" t="str">
        <x:v>status</x:v>
      </x:c>
      <x:c r="K1" s="19" t="str">
        <x:v>notes_ko</x:v>
      </x:c>
      <x:c r="L1" s="19" t="str">
        <x:v>notes_en</x:v>
      </x:c>
    </x:row>
    <x:row r="2" ht="64.80000305175781" hidden="0" customHeight="1">
      <x:c r="A2" s="23" t="str">
        <x:v>OPEN</x:v>
      </x:c>
      <x:c r="B2" s="23" t="n">
        <x:v>1</x:v>
      </x:c>
      <x:c r="C2" s="23" t="str">
        <x:v>실제 선택 재료의 requires_open</x:v>
      </x:c>
      <x:c r="D2" s="23" t="str">
        <x:v>Actual selected ingredient has requires_open</x:v>
      </x:c>
      <x:c r="E2" s="23" t="str">
        <x:v>성공 즉시 자동 종료</x:v>
      </x:c>
      <x:c r="F2" s="23" t="str">
        <x:v>Auto-complete immediately on success</x:v>
      </x:c>
      <x:c r="G2" s="23" t="str">
        <x:v>MAX(0, 100 - failure_count × open_penalty_per_failure)</x:v>
      </x:c>
      <x:c r="H2" s="23" t="str">
        <x:v>PLAYABLE</x:v>
      </x:c>
      <x:c r="I2" s="23" t="str">
        <x:v>open_penalty_per_failure</x:v>
      </x:c>
      <x:c r="J2" s="23" t="str">
        <x:v>CONFIRMED</x:v>
      </x:c>
      <x:c r="K2" s="23" t="str">
        <x:v>병맥주 병뚜껑에만 사용한다.</x:v>
      </x:c>
      <x:c r="L2" s="23" t="str">
        <x:v>Used only for capped beer bottles.</x:v>
      </x:c>
    </x:row>
    <x:row r="3" ht="75.5999984741211" hidden="0" customHeight="1">
      <x:c r="A3" s="23" t="str">
        <x:v>POUR</x:v>
      </x:c>
      <x:c r="B3" s="23" t="n">
        <x:v>2</x:v>
      </x:c>
      <x:c r="C3" s="23" t="str">
        <x:v>실제 선택 재료의 RecipeStep.action=POUR</x:v>
      </x:c>
      <x:c r="D3" s="23" t="str">
        <x:v>Actual selected ingredient has RecipeStep.action=POUR</x:v>
      </x:c>
      <x:c r="E3" s="23" t="str">
        <x:v>다음 버튼</x:v>
      </x:c>
      <x:c r="F3" s="23" t="str">
        <x:v>Complete with the Next button</x:v>
      </x:c>
      <x:c r="G3" s="23" t="str">
        <x:v>수량 오차 구간 점수</x:v>
      </x:c>
      <x:c r="H3" s="23" t="str">
        <x:v>PLAYABLE</x:v>
      </x:c>
      <x:c r="I3" s="23" t="str">
        <x:v>unit_oz_to_ml;unit_tsp_to_ml</x:v>
      </x:c>
      <x:c r="J3" s="23" t="str">
        <x:v>CONFIRMED</x:v>
      </x:c>
      <x:c r="K3" s="23" t="str">
        <x:v>실제 선택한 재료별로 실행한다.</x:v>
      </x:c>
      <x:c r="L3" s="23" t="str">
        <x:v>Runs once for each manually selected pour ingredient.</x:v>
      </x:c>
    </x:row>
    <x:row r="4" ht="64.80000305175781" hidden="0" customHeight="1">
      <x:c r="A4" s="23" t="str">
        <x:v>SQUEEZE</x:v>
      </x:c>
      <x:c r="B4" s="23" t="n">
        <x:v>3</x:v>
      </x:c>
      <x:c r="C4" s="23" t="str">
        <x:v>Selected Cocktail의 RecipeStep.action=SQUEEZE</x:v>
      </x:c>
      <x:c r="D4" s="23" t="str">
        <x:v>Selected Cocktail has RecipeStep.action=SQUEEZE</x:v>
      </x:c>
      <x:c r="E4" s="23" t="str">
        <x:v>다음 버튼</x:v>
      </x:c>
      <x:c r="F4" s="23" t="str">
        <x:v>Complete with the Next button</x:v>
      </x:c>
      <x:c r="G4" s="23" t="str">
        <x:v>수량 오차 구간 점수</x:v>
      </x:c>
      <x:c r="H4" s="23" t="str">
        <x:v>PLAYABLE</x:v>
      </x:c>
      <x:c r="I4" s="23" t="str">
        <x:v>unit_oz_to_ml</x:v>
      </x:c>
      <x:c r="J4" s="23" t="str">
        <x:v>CONFIRMED</x:v>
      </x:c>
      <x:c r="K4" s="23" t="str">
        <x:v>선택 레시피가 자동 호출하고 플레이어가 수행한다.</x:v>
      </x:c>
      <x:c r="L4" s="23" t="str">
        <x:v>Auto-called by the selected recipe and performed by the player.</x:v>
      </x:c>
    </x:row>
    <x:row r="5" ht="54" hidden="0" customHeight="1">
      <x:c r="A5" s="23" t="str">
        <x:v>POWDER</x:v>
      </x:c>
      <x:c r="B5" s="23" t="n">
        <x:v>4</x:v>
      </x:c>
      <x:c r="C5" s="23" t="str">
        <x:v>Selected Cocktail의 RecipeStep.action=POWDER</x:v>
      </x:c>
      <x:c r="D5" s="23" t="str">
        <x:v>Selected Cocktail has RecipeStep.action=POWDER</x:v>
      </x:c>
      <x:c r="E5" s="23" t="str">
        <x:v>즉시 처리</x:v>
      </x:c>
      <x:c r="F5" s="23" t="str">
        <x:v>Resolve immediately</x:v>
      </x:c>
      <x:c r="G5" s="23" t="str">
        <x:v>데모에서는 채점하지 않음</x:v>
      </x:c>
      <x:c r="H5" s="23" t="str">
        <x:v>AUTO_APPLY_UNSCORED</x:v>
      </x:c>
      <x:c r="I5" s="23" t="str">
        <x:v>powder_demo_behavior</x:v>
      </x:c>
      <x:c r="J5" s="23" t="str">
        <x:v>CONFIRMED</x:v>
      </x:c>
      <x:c r="K5" s="23" t="str">
        <x:v>레시피에는 표시하지만 데모에서는 자동 투입한다.</x:v>
      </x:c>
      <x:c r="L5" s="23" t="str">
        <x:v>Shown in the recipe but auto-applied in the demo.</x:v>
      </x:c>
    </x:row>
    <x:row r="6" ht="43.20000076293945" hidden="0" customHeight="1">
      <x:c r="A6" s="23" t="str">
        <x:v>SHAKE</x:v>
      </x:c>
      <x:c r="B6" s="23" t="n">
        <x:v>5</x:v>
      </x:c>
      <x:c r="C6" s="23" t="str">
        <x:v>실제 선택 도구=shaker</x:v>
      </x:c>
      <x:c r="D6" s="23" t="str">
        <x:v>Actual selected tool is shaker</x:v>
      </x:c>
      <x:c r="E6" s="23" t="str">
        <x:v>성공+실패 합계 20회에서 자동 종료</x:v>
      </x:c>
      <x:c r="F6" s="23" t="str">
        <x:v>Auto-complete after 20 resolved attempts</x:v>
      </x:c>
      <x:c r="G6" s="23" t="str">
        <x:v>success_count / attempt_count × 100</x:v>
      </x:c>
      <x:c r="H6" s="23" t="str">
        <x:v>PLAYABLE</x:v>
      </x:c>
      <x:c r="I6" s="23" t="str">
        <x:v>shake_target_attempts</x:v>
      </x:c>
      <x:c r="J6" s="23" t="str">
        <x:v>CONFIRMED</x:v>
      </x:c>
      <x:c r="K6" s="23" t="str">
        <x:v>다음 버튼과 조기 종료를 사용하지 않는다.</x:v>
      </x:c>
      <x:c r="L6" s="23" t="str">
        <x:v>No Next button or early completion.</x:v>
      </x:c>
    </x:row>
    <x:row r="7" ht="54" hidden="0" customHeight="1">
      <x:c r="A7" s="23" t="str">
        <x:v>STIR</x:v>
      </x:c>
      <x:c r="B7" s="23" t="n">
        <x:v>5</x:v>
      </x:c>
      <x:c r="C7" s="23" t="str">
        <x:v>실제 선택 도구=mixing_glass</x:v>
      </x:c>
      <x:c r="D7" s="23" t="str">
        <x:v>Actual selected tool is mixing_glass</x:v>
      </x:c>
      <x:c r="E7" s="23" t="str">
        <x:v>성공+실패 합계 10회에서 자동 종료</x:v>
      </x:c>
      <x:c r="F7" s="23" t="str">
        <x:v>Auto-complete after 10 resolved attempts</x:v>
      </x:c>
      <x:c r="G7" s="23" t="str">
        <x:v>success_count / attempt_count × 100</x:v>
      </x:c>
      <x:c r="H7" s="23" t="str">
        <x:v>PLAYABLE</x:v>
      </x:c>
      <x:c r="I7" s="23" t="str">
        <x:v>stir_target_attempts;stir_round_limit_sec</x:v>
      </x:c>
      <x:c r="J7" s="23" t="str">
        <x:v>CONFIRMED</x:v>
      </x:c>
      <x:c r="K7" s="23" t="str">
        <x:v>오답 또는 2초 초과를 실패 1회로 기록한다.</x:v>
      </x:c>
      <x:c r="L7" s="23" t="str">
        <x:v>Record a wrong input or timeout as one failed attempt.</x:v>
      </x:c>
    </x:row>
    <x:row r="8" ht="75.5999984741211" hidden="0" customHeight="1">
      <x:c r="A8" s="23" t="str">
        <x:v>FILL_UP</x:v>
      </x:c>
      <x:c r="B8" s="23" t="n">
        <x:v>6</x:v>
      </x:c>
      <x:c r="C8" s="23" t="str">
        <x:v>실제 선택 재료의 RecipeStep.action=FILL_UP</x:v>
      </x:c>
      <x:c r="D8" s="23" t="str">
        <x:v>Actual selected ingredient has RecipeStep.action=FILL_UP</x:v>
      </x:c>
      <x:c r="E8" s="23" t="str">
        <x:v>다음 버튼</x:v>
      </x:c>
      <x:c r="F8" s="23" t="str">
        <x:v>Complete with the Next button</x:v>
      </x:c>
      <x:c r="G8" s="23" t="str">
        <x:v>잔 채움 비율 오차 점수</x:v>
      </x:c>
      <x:c r="H8" s="23" t="str">
        <x:v>PLAYABLE</x:v>
      </x:c>
      <x:c r="I8" s="23" t="str"/>
      <x:c r="J8" s="23" t="str">
        <x:v>CONFIRMED</x:v>
      </x:c>
      <x:c r="K8" s="23" t="str">
        <x:v>믹스 기믹 뒤에 실행한다.</x:v>
      </x:c>
      <x:c r="L8" s="23" t="str">
        <x:v>Runs after the mix gimmick.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34" hidden="0" customWidth="1"/>
    <x:col min="7" max="7" width="34" hidden="0" customWidth="1"/>
  </x:cols>
  <x:sheetData>
    <x:row r="1" ht="28" customHeight="1">
      <x:c r="A1" s="19" t="str">
        <x:v>component_id</x:v>
      </x:c>
      <x:c r="B1" s="19" t="str">
        <x:v>weight</x:v>
      </x:c>
      <x:c r="C1" s="19" t="str">
        <x:v>aggregation</x:v>
      </x:c>
      <x:c r="D1" s="19" t="str">
        <x:v>enabled_in_demo</x:v>
      </x:c>
      <x:c r="E1" s="19" t="str">
        <x:v>status</x:v>
      </x:c>
      <x:c r="F1" s="19" t="str">
        <x:v>rule_ko</x:v>
      </x:c>
      <x:c r="G1" s="19" t="str">
        <x:v>rule_en</x:v>
      </x:c>
    </x:row>
    <x:row r="2" ht="43.20000076293945" hidden="0" customHeight="1">
      <x:c r="A2" s="23" t="str">
        <x:v>GLASS</x:v>
      </x:c>
      <x:c r="B2" s="23" t="n">
        <x:v>10</x:v>
      </x:c>
      <x:c r="C2" s="23" t="str">
        <x:v>SINGLE</x:v>
      </x:c>
      <x:c r="D2" s="28" t="b">
        <x:v>1</x:v>
      </x:c>
      <x:c r="E2" s="23" t="str">
        <x:v>PROPOSED</x:v>
      </x:c>
      <x:c r="F2" s="23" t="str">
        <x:v>정답 잔과 실제 잔의 일치 여부</x:v>
      </x:c>
      <x:c r="G2" s="23" t="str">
        <x:v>Compare the target glass with the actual glass.</x:v>
      </x:c>
    </x:row>
    <x:row r="3" ht="43.20000076293945" hidden="0" customHeight="1">
      <x:c r="A3" s="23" t="str">
        <x:v>TOOL</x:v>
      </x:c>
      <x:c r="B3" s="23" t="n">
        <x:v>10</x:v>
      </x:c>
      <x:c r="C3" s="23" t="str">
        <x:v>SINGLE</x:v>
      </x:c>
      <x:c r="D3" s="28" t="b">
        <x:v>1</x:v>
      </x:c>
      <x:c r="E3" s="23" t="str">
        <x:v>PROPOSED</x:v>
      </x:c>
      <x:c r="F3" s="23" t="str">
        <x:v>정답 도구와 실제 도구의 일치 여부</x:v>
      </x:c>
      <x:c r="G3" s="23" t="str">
        <x:v>Compare the target tool with the actual tool.</x:v>
      </x:c>
    </x:row>
    <x:row r="4" ht="32.400001525878906" hidden="0" customHeight="1">
      <x:c r="A4" s="23" t="str">
        <x:v>OPEN</x:v>
      </x:c>
      <x:c r="B4" s="23" t="n">
        <x:v>10</x:v>
      </x:c>
      <x:c r="C4" s="23" t="str">
        <x:v>AVERAGE</x:v>
      </x:c>
      <x:c r="D4" s="28" t="b">
        <x:v>1</x:v>
      </x:c>
      <x:c r="E4" s="23" t="str">
        <x:v>PROPOSED</x:v>
      </x:c>
      <x:c r="F4" s="23" t="str">
        <x:v>병따기 결과 평균</x:v>
      </x:c>
      <x:c r="G4" s="23" t="str">
        <x:v>Average the opening results.</x:v>
      </x:c>
    </x:row>
    <x:row r="5" ht="32.400001525878906" hidden="0" customHeight="1">
      <x:c r="A5" s="23" t="str">
        <x:v>POUR</x:v>
      </x:c>
      <x:c r="B5" s="23" t="n">
        <x:v>20</x:v>
      </x:c>
      <x:c r="C5" s="23" t="str">
        <x:v>AVERAGE</x:v>
      </x:c>
      <x:c r="D5" s="28" t="b">
        <x:v>1</x:v>
      </x:c>
      <x:c r="E5" s="23" t="str">
        <x:v>PROPOSED</x:v>
      </x:c>
      <x:c r="F5" s="23" t="str">
        <x:v>따르기 단계 점수 평균</x:v>
      </x:c>
      <x:c r="G5" s="23" t="str">
        <x:v>Average all pour-step scores.</x:v>
      </x:c>
    </x:row>
    <x:row r="6" ht="32.400001525878906" hidden="0" customHeight="1">
      <x:c r="A6" s="23" t="str">
        <x:v>SQUEEZE</x:v>
      </x:c>
      <x:c r="B6" s="23" t="n">
        <x:v>10</x:v>
      </x:c>
      <x:c r="C6" s="23" t="str">
        <x:v>AVERAGE</x:v>
      </x:c>
      <x:c r="D6" s="28" t="b">
        <x:v>1</x:v>
      </x:c>
      <x:c r="E6" s="23" t="str">
        <x:v>PROPOSED</x:v>
      </x:c>
      <x:c r="F6" s="23" t="str">
        <x:v>스퀴즈 단계 점수 평균</x:v>
      </x:c>
      <x:c r="G6" s="23" t="str">
        <x:v>Average all squeeze-step scores.</x:v>
      </x:c>
    </x:row>
    <x:row r="7" ht="64.80000305175781" hidden="0" customHeight="1">
      <x:c r="A7" s="23" t="str">
        <x:v>POWDER</x:v>
      </x:c>
      <x:c r="B7" s="23" t="n">
        <x:v>5</x:v>
      </x:c>
      <x:c r="C7" s="23" t="str">
        <x:v>AVERAGE</x:v>
      </x:c>
      <x:c r="D7" s="28" t="b">
        <x:v>0</x:v>
      </x:c>
      <x:c r="E7" s="23" t="str">
        <x:v>PROPOSED</x:v>
      </x:c>
      <x:c r="F7" s="23" t="str">
        <x:v>정식 버전용 예약. 데모에서는 제외</x:v>
      </x:c>
      <x:c r="G7" s="23" t="str">
        <x:v>Reserved for the full version and excluded from the demo.</x:v>
      </x:c>
    </x:row>
    <x:row r="8" ht="32.400001525878906" hidden="0" customHeight="1">
      <x:c r="A8" s="23" t="str">
        <x:v>SHAKE</x:v>
      </x:c>
      <x:c r="B8" s="23" t="n">
        <x:v>20</x:v>
      </x:c>
      <x:c r="C8" s="23" t="str">
        <x:v>SINGLE</x:v>
      </x:c>
      <x:c r="D8" s="28" t="b">
        <x:v>1</x:v>
      </x:c>
      <x:c r="E8" s="23" t="str">
        <x:v>PROPOSED</x:v>
      </x:c>
      <x:c r="F8" s="23" t="str">
        <x:v>셰이크 성공률</x:v>
      </x:c>
      <x:c r="G8" s="23" t="str">
        <x:v>Use the shake success rate.</x:v>
      </x:c>
    </x:row>
    <x:row r="9" ht="21.600000381469727" hidden="0" customHeight="1">
      <x:c r="A9" s="23" t="str">
        <x:v>STIR</x:v>
      </x:c>
      <x:c r="B9" s="23" t="n">
        <x:v>20</x:v>
      </x:c>
      <x:c r="C9" s="23" t="str">
        <x:v>SINGLE</x:v>
      </x:c>
      <x:c r="D9" s="28" t="b">
        <x:v>1</x:v>
      </x:c>
      <x:c r="E9" s="23" t="str">
        <x:v>PROPOSED</x:v>
      </x:c>
      <x:c r="F9" s="23" t="str">
        <x:v>스터 성공률</x:v>
      </x:c>
      <x:c r="G9" s="23" t="str">
        <x:v>Use the stir success rate.</x:v>
      </x:c>
    </x:row>
    <x:row r="10" ht="32.400001525878906" hidden="0" customHeight="1">
      <x:c r="A10" s="23" t="str">
        <x:v>FILL_UP</x:v>
      </x:c>
      <x:c r="B10" s="23" t="n">
        <x:v>15</x:v>
      </x:c>
      <x:c r="C10" s="23" t="str">
        <x:v>AVERAGE</x:v>
      </x:c>
      <x:c r="D10" s="28" t="b">
        <x:v>1</x:v>
      </x:c>
      <x:c r="E10" s="23" t="str">
        <x:v>PROPOSED</x:v>
      </x:c>
      <x:c r="F10" s="23" t="str">
        <x:v>필업 단계 점수 평균</x:v>
      </x:c>
      <x:c r="G10" s="23" t="str">
        <x:v>Average all fill-up scores.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7" hidden="0" customWidth="1"/>
    <x:col min="9" max="9" width="17" hidden="0" customWidth="1"/>
    <x:col min="10" max="10" width="34" hidden="0" customWidth="1"/>
    <x:col min="11" max="11" width="34" hidden="0" customWidth="1"/>
  </x:cols>
  <x:sheetData>
    <x:row r="1" ht="28" customHeight="1">
      <x:c r="A1" s="19" t="str">
        <x:v>band_id</x:v>
      </x:c>
      <x:c r="B1" s="19" t="str">
        <x:v>metric</x:v>
      </x:c>
      <x:c r="C1" s="19" t="str">
        <x:v>min_value</x:v>
      </x:c>
      <x:c r="D1" s="19" t="str">
        <x:v>max_value</x:v>
      </x:c>
      <x:c r="E1" s="19" t="str">
        <x:v>min_inclusive</x:v>
      </x:c>
      <x:c r="F1" s="19" t="str">
        <x:v>max_inclusive</x:v>
      </x:c>
      <x:c r="G1" s="19" t="str">
        <x:v>result_value</x:v>
      </x:c>
      <x:c r="H1" s="19" t="str">
        <x:v>result_unit</x:v>
      </x:c>
      <x:c r="I1" s="19" t="str">
        <x:v>status</x:v>
      </x:c>
      <x:c r="J1" s="19" t="str">
        <x:v>note_ko</x:v>
      </x:c>
      <x:c r="K1" s="19" t="str">
        <x:v>note_en</x:v>
      </x:c>
    </x:row>
    <x:row r="2" ht="43.20000076293945" hidden="0" customHeight="1">
      <x:c r="A2" s="23" t="str">
        <x:v>QTY_00</x:v>
      </x:c>
      <x:c r="B2" s="23" t="str">
        <x:v>QUANTITY_ERROR_RATIO</x:v>
      </x:c>
      <x:c r="C2" s="23" t="n">
        <x:v>0</x:v>
      </x:c>
      <x:c r="D2" s="23" t="n">
        <x:v>0.05</x:v>
      </x:c>
      <x:c r="E2" s="28" t="b">
        <x:v>1</x:v>
      </x:c>
      <x:c r="F2" s="28" t="b">
        <x:v>0</x:v>
      </x:c>
      <x:c r="G2" s="23" t="n">
        <x:v>100</x:v>
      </x:c>
      <x:c r="H2" s="23" t="str">
        <x:v>score</x:v>
      </x:c>
      <x:c r="I2" s="23" t="str">
        <x:v>PROPOSED</x:v>
      </x:c>
      <x:c r="J2" s="23" t="str">
        <x:v>오차 0% 이상 5% 미만</x:v>
      </x:c>
      <x:c r="K2" s="23" t="str">
        <x:v>Error from 0% inclusive to 5% exclusive</x:v>
      </x:c>
    </x:row>
    <x:row r="3" ht="43.20000076293945" hidden="0" customHeight="1">
      <x:c r="A3" s="23" t="str">
        <x:v>QTY_05</x:v>
      </x:c>
      <x:c r="B3" s="23" t="str">
        <x:v>QUANTITY_ERROR_RATIO</x:v>
      </x:c>
      <x:c r="C3" s="23" t="n">
        <x:v>0.05</x:v>
      </x:c>
      <x:c r="D3" s="23" t="n">
        <x:v>0.1</x:v>
      </x:c>
      <x:c r="E3" s="28" t="b">
        <x:v>1</x:v>
      </x:c>
      <x:c r="F3" s="28" t="b">
        <x:v>0</x:v>
      </x:c>
      <x:c r="G3" s="23" t="n">
        <x:v>90</x:v>
      </x:c>
      <x:c r="H3" s="23" t="str">
        <x:v>score</x:v>
      </x:c>
      <x:c r="I3" s="23" t="str">
        <x:v>PROPOSED</x:v>
      </x:c>
      <x:c r="J3" s="23" t="str">
        <x:v>오차 5% 이상 10% 미만</x:v>
      </x:c>
      <x:c r="K3" s="23" t="str">
        <x:v>Error from 5% inclusive to 10% exclusive</x:v>
      </x:c>
    </x:row>
    <x:row r="4" ht="54" hidden="0" customHeight="1">
      <x:c r="A4" s="23" t="str">
        <x:v>QTY_10</x:v>
      </x:c>
      <x:c r="B4" s="23" t="str">
        <x:v>QUANTITY_ERROR_RATIO</x:v>
      </x:c>
      <x:c r="C4" s="23" t="n">
        <x:v>0.1</x:v>
      </x:c>
      <x:c r="D4" s="23" t="n">
        <x:v>0.2</x:v>
      </x:c>
      <x:c r="E4" s="28" t="b">
        <x:v>1</x:v>
      </x:c>
      <x:c r="F4" s="28" t="b">
        <x:v>0</x:v>
      </x:c>
      <x:c r="G4" s="23" t="n">
        <x:v>75</x:v>
      </x:c>
      <x:c r="H4" s="23" t="str">
        <x:v>score</x:v>
      </x:c>
      <x:c r="I4" s="23" t="str">
        <x:v>PROPOSED</x:v>
      </x:c>
      <x:c r="J4" s="23" t="str">
        <x:v>오차 10% 이상 20% 미만</x:v>
      </x:c>
      <x:c r="K4" s="23" t="str">
        <x:v>Error from 10% inclusive to 20% exclusive</x:v>
      </x:c>
    </x:row>
    <x:row r="5" ht="54" hidden="0" customHeight="1">
      <x:c r="A5" s="23" t="str">
        <x:v>QTY_20</x:v>
      </x:c>
      <x:c r="B5" s="23" t="str">
        <x:v>QUANTITY_ERROR_RATIO</x:v>
      </x:c>
      <x:c r="C5" s="23" t="n">
        <x:v>0.2</x:v>
      </x:c>
      <x:c r="D5" s="23" t="n">
        <x:v>0.35</x:v>
      </x:c>
      <x:c r="E5" s="28" t="b">
        <x:v>1</x:v>
      </x:c>
      <x:c r="F5" s="28" t="b">
        <x:v>0</x:v>
      </x:c>
      <x:c r="G5" s="23" t="n">
        <x:v>50</x:v>
      </x:c>
      <x:c r="H5" s="23" t="str">
        <x:v>score</x:v>
      </x:c>
      <x:c r="I5" s="23" t="str">
        <x:v>PROPOSED</x:v>
      </x:c>
      <x:c r="J5" s="23" t="str">
        <x:v>오차 20% 이상 35% 미만</x:v>
      </x:c>
      <x:c r="K5" s="23" t="str">
        <x:v>Error from 20% inclusive to 35% exclusive</x:v>
      </x:c>
    </x:row>
    <x:row r="6" ht="32.400001525878906" hidden="0" customHeight="1">
      <x:c r="A6" s="23" t="str">
        <x:v>QTY_35</x:v>
      </x:c>
      <x:c r="B6" s="23" t="str">
        <x:v>QUANTITY_ERROR_RATIO</x:v>
      </x:c>
      <x:c r="C6" s="23" t="n">
        <x:v>0.35</x:v>
      </x:c>
      <x:c r="D6" s="23" t="str"/>
      <x:c r="E6" s="28" t="b">
        <x:v>1</x:v>
      </x:c>
      <x:c r="F6" s="28" t="b">
        <x:v>0</x:v>
      </x:c>
      <x:c r="G6" s="23" t="n">
        <x:v>0</x:v>
      </x:c>
      <x:c r="H6" s="23" t="str">
        <x:v>score</x:v>
      </x:c>
      <x:c r="I6" s="23" t="str">
        <x:v>PROPOSED</x:v>
      </x:c>
      <x:c r="J6" s="23" t="str">
        <x:v>오차 35% 이상</x:v>
      </x:c>
      <x:c r="K6" s="23" t="str">
        <x:v>Error at or above 35%</x:v>
      </x:c>
    </x:row>
    <x:row r="7" ht="21.600000381469727" hidden="0" customHeight="1">
      <x:c r="A7" s="23" t="str">
        <x:v>TIME_ON</x:v>
      </x:c>
      <x:c r="B7" s="23" t="str">
        <x:v>OVERTIME_RATIO</x:v>
      </x:c>
      <x:c r="C7" s="23" t="n">
        <x:v>0</x:v>
      </x:c>
      <x:c r="D7" s="23" t="n">
        <x:v>0</x:v>
      </x:c>
      <x:c r="E7" s="28" t="b">
        <x:v>1</x:v>
      </x:c>
      <x:c r="F7" s="28" t="b">
        <x:v>1</x:v>
      </x:c>
      <x:c r="G7" s="23" t="n">
        <x:v>0</x:v>
      </x:c>
      <x:c r="H7" s="23" t="str">
        <x:v>penalty</x:v>
      </x:c>
      <x:c r="I7" s="23" t="str">
        <x:v>PROPOSED</x:v>
      </x:c>
      <x:c r="J7" s="23" t="str">
        <x:v>제한시간 이내</x:v>
      </x:c>
      <x:c r="K7" s="23" t="str">
        <x:v>Within the time limit</x:v>
      </x:c>
    </x:row>
    <x:row r="8" ht="54" hidden="0" customHeight="1">
      <x:c r="A8" s="23" t="str">
        <x:v>TIME_00</x:v>
      </x:c>
      <x:c r="B8" s="23" t="str">
        <x:v>OVERTIME_RATIO</x:v>
      </x:c>
      <x:c r="C8" s="23" t="n">
        <x:v>0</x:v>
      </x:c>
      <x:c r="D8" s="23" t="n">
        <x:v>0.1</x:v>
      </x:c>
      <x:c r="E8" s="28" t="b">
        <x:v>0</x:v>
      </x:c>
      <x:c r="F8" s="28" t="b">
        <x:v>1</x:v>
      </x:c>
      <x:c r="G8" s="23" t="n">
        <x:v>5</x:v>
      </x:c>
      <x:c r="H8" s="23" t="str">
        <x:v>penalty</x:v>
      </x:c>
      <x:c r="I8" s="23" t="str">
        <x:v>PROPOSED</x:v>
      </x:c>
      <x:c r="J8" s="23" t="str">
        <x:v>초과율 0% 초과 10% 이하</x:v>
      </x:c>
      <x:c r="K8" s="23" t="str">
        <x:v>Overtime above 0% and up to 10% inclusive</x:v>
      </x:c>
    </x:row>
    <x:row r="9" ht="54" hidden="0" customHeight="1">
      <x:c r="A9" s="23" t="str">
        <x:v>TIME_10</x:v>
      </x:c>
      <x:c r="B9" s="23" t="str">
        <x:v>OVERTIME_RATIO</x:v>
      </x:c>
      <x:c r="C9" s="23" t="n">
        <x:v>0.1</x:v>
      </x:c>
      <x:c r="D9" s="23" t="n">
        <x:v>0.25</x:v>
      </x:c>
      <x:c r="E9" s="28" t="b">
        <x:v>0</x:v>
      </x:c>
      <x:c r="F9" s="28" t="b">
        <x:v>1</x:v>
      </x:c>
      <x:c r="G9" s="23" t="n">
        <x:v>10</x:v>
      </x:c>
      <x:c r="H9" s="23" t="str">
        <x:v>penalty</x:v>
      </x:c>
      <x:c r="I9" s="23" t="str">
        <x:v>PROPOSED</x:v>
      </x:c>
      <x:c r="J9" s="23" t="str">
        <x:v>초과율 10% 초과 25% 이하</x:v>
      </x:c>
      <x:c r="K9" s="23" t="str">
        <x:v>Overtime above 10% and up to 25% inclusive</x:v>
      </x:c>
    </x:row>
    <x:row r="10" ht="54" hidden="0" customHeight="1">
      <x:c r="A10" s="23" t="str">
        <x:v>TIME_25</x:v>
      </x:c>
      <x:c r="B10" s="23" t="str">
        <x:v>OVERTIME_RATIO</x:v>
      </x:c>
      <x:c r="C10" s="23" t="n">
        <x:v>0.25</x:v>
      </x:c>
      <x:c r="D10" s="23" t="n">
        <x:v>0.5</x:v>
      </x:c>
      <x:c r="E10" s="28" t="b">
        <x:v>0</x:v>
      </x:c>
      <x:c r="F10" s="28" t="b">
        <x:v>1</x:v>
      </x:c>
      <x:c r="G10" s="23" t="n">
        <x:v>20</x:v>
      </x:c>
      <x:c r="H10" s="23" t="str">
        <x:v>penalty</x:v>
      </x:c>
      <x:c r="I10" s="23" t="str">
        <x:v>PROPOSED</x:v>
      </x:c>
      <x:c r="J10" s="23" t="str">
        <x:v>초과율 25% 초과 50% 이하</x:v>
      </x:c>
      <x:c r="K10" s="23" t="str">
        <x:v>Overtime above 25% and up to 50% inclusive</x:v>
      </x:c>
    </x:row>
    <x:row r="11" ht="21.600000381469727" hidden="0" customHeight="1">
      <x:c r="A11" s="23" t="str">
        <x:v>TIME_50</x:v>
      </x:c>
      <x:c r="B11" s="23" t="str">
        <x:v>OVERTIME_RATIO</x:v>
      </x:c>
      <x:c r="C11" s="23" t="n">
        <x:v>0.5</x:v>
      </x:c>
      <x:c r="D11" s="23" t="str"/>
      <x:c r="E11" s="28" t="b">
        <x:v>0</x:v>
      </x:c>
      <x:c r="F11" s="28" t="b">
        <x:v>0</x:v>
      </x:c>
      <x:c r="G11" s="23" t="n">
        <x:v>30</x:v>
      </x:c>
      <x:c r="H11" s="23" t="str">
        <x:v>penalty</x:v>
      </x:c>
      <x:c r="I11" s="23" t="str">
        <x:v>PROPOSED</x:v>
      </x:c>
      <x:c r="J11" s="23" t="str">
        <x:v>초과율 50% 초과</x:v>
      </x:c>
      <x:c r="K11" s="23" t="str">
        <x:v>Overtime above 50%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7" hidden="0" customWidth="1"/>
  </x:cols>
  <x:sheetData>
    <x:row r="1" ht="28" customHeight="1">
      <x:c r="A1" s="19" t="str">
        <x:v>grade_id</x:v>
      </x:c>
      <x:c r="B1" s="19" t="str">
        <x:v>label_ko</x:v>
      </x:c>
      <x:c r="C1" s="19" t="str">
        <x:v>label_en</x:v>
      </x:c>
      <x:c r="D1" s="19" t="str">
        <x:v>min_score</x:v>
      </x:c>
      <x:c r="E1" s="19" t="str">
        <x:v>max_score</x:v>
      </x:c>
      <x:c r="F1" s="19" t="str">
        <x:v>min_inclusive</x:v>
      </x:c>
      <x:c r="G1" s="19" t="str">
        <x:v>max_inclusive</x:v>
      </x:c>
      <x:c r="H1" s="19" t="str">
        <x:v>status</x:v>
      </x:c>
    </x:row>
    <x:row r="2" ht="15" hidden="0" customHeight="1">
      <x:c r="A2" s="23" t="str">
        <x:v>excellent</x:v>
      </x:c>
      <x:c r="B2" s="23" t="str">
        <x:v>완벽</x:v>
      </x:c>
      <x:c r="C2" s="23" t="str">
        <x:v>Excellent</x:v>
      </x:c>
      <x:c r="D2" s="23" t="n">
        <x:v>95</x:v>
      </x:c>
      <x:c r="E2" s="23" t="n">
        <x:v>100</x:v>
      </x:c>
      <x:c r="F2" s="28" t="b">
        <x:v>1</x:v>
      </x:c>
      <x:c r="G2" s="28" t="b">
        <x:v>1</x:v>
      </x:c>
      <x:c r="H2" s="23" t="str">
        <x:v>CONFIRMED</x:v>
      </x:c>
    </x:row>
    <x:row r="3" ht="15" hidden="0" customHeight="1">
      <x:c r="A3" s="23" t="str">
        <x:v>good</x:v>
      </x:c>
      <x:c r="B3" s="23" t="str">
        <x:v>좋음</x:v>
      </x:c>
      <x:c r="C3" s="23" t="str">
        <x:v>Good</x:v>
      </x:c>
      <x:c r="D3" s="23" t="n">
        <x:v>80</x:v>
      </x:c>
      <x:c r="E3" s="23" t="n">
        <x:v>95</x:v>
      </x:c>
      <x:c r="F3" s="28" t="b">
        <x:v>1</x:v>
      </x:c>
      <x:c r="G3" s="28" t="b">
        <x:v>0</x:v>
      </x:c>
      <x:c r="H3" s="23" t="str">
        <x:v>CONFIRMED</x:v>
      </x:c>
    </x:row>
    <x:row r="4" ht="15" hidden="0" customHeight="1">
      <x:c r="A4" s="23" t="str">
        <x:v>decent</x:v>
      </x:c>
      <x:c r="B4" s="23" t="str">
        <x:v>보통</x:v>
      </x:c>
      <x:c r="C4" s="23" t="str">
        <x:v>Decent</x:v>
      </x:c>
      <x:c r="D4" s="23" t="n">
        <x:v>60</x:v>
      </x:c>
      <x:c r="E4" s="23" t="n">
        <x:v>80</x:v>
      </x:c>
      <x:c r="F4" s="28" t="b">
        <x:v>1</x:v>
      </x:c>
      <x:c r="G4" s="28" t="b">
        <x:v>0</x:v>
      </x:c>
      <x:c r="H4" s="23" t="str">
        <x:v>CONFIRMED</x:v>
      </x:c>
    </x:row>
    <x:row r="5" ht="15" hidden="0" customHeight="1">
      <x:c r="A5" s="23" t="str">
        <x:v>poor</x:v>
      </x:c>
      <x:c r="B5" s="23" t="str">
        <x:v>부족</x:v>
      </x:c>
      <x:c r="C5" s="23" t="str">
        <x:v>Poor</x:v>
      </x:c>
      <x:c r="D5" s="23" t="n">
        <x:v>35</x:v>
      </x:c>
      <x:c r="E5" s="23" t="n">
        <x:v>60</x:v>
      </x:c>
      <x:c r="F5" s="28" t="b">
        <x:v>1</x:v>
      </x:c>
      <x:c r="G5" s="28" t="b">
        <x:v>0</x:v>
      </x:c>
      <x:c r="H5" s="23" t="str">
        <x:v>CONFIRMED</x:v>
      </x:c>
    </x:row>
    <x:row r="6" ht="15" hidden="0" customHeight="1">
      <x:c r="A6" s="23" t="str">
        <x:v>sewage</x:v>
      </x:c>
      <x:c r="B6" s="23" t="str">
        <x:v>오물</x:v>
      </x:c>
      <x:c r="C6" s="23" t="str">
        <x:v>Sewage</x:v>
      </x:c>
      <x:c r="D6" s="23" t="n">
        <x:v>0</x:v>
      </x:c>
      <x:c r="E6" s="23" t="n">
        <x:v>35</x:v>
      </x:c>
      <x:c r="F6" s="28" t="b">
        <x:v>1</x:v>
      </x:c>
      <x:c r="G6" s="28" t="b">
        <x:v>0</x:v>
      </x:c>
      <x:c r="H6" s="23" t="str">
        <x:v>CONFIRMED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34" hidden="0" customWidth="1"/>
    <x:col min="7" max="7" width="34" hidden="0" customWidth="1"/>
  </x:cols>
  <x:sheetData>
    <x:row r="1" ht="28" customHeight="1">
      <x:c r="A1" s="19" t="str">
        <x:v>grade_id</x:v>
      </x:c>
      <x:c r="B1" s="19" t="str">
        <x:v>sale_rate</x:v>
      </x:c>
      <x:c r="C1" s="19" t="str">
        <x:v>tip_rate</x:v>
      </x:c>
      <x:c r="D1" s="19" t="str">
        <x:v>refund_rate</x:v>
      </x:c>
      <x:c r="E1" s="19" t="str">
        <x:v>status</x:v>
      </x:c>
      <x:c r="F1" s="19" t="str">
        <x:v>rule_ko</x:v>
      </x:c>
      <x:c r="G1" s="19" t="str">
        <x:v>rule_en</x:v>
      </x:c>
    </x:row>
    <x:row r="2" ht="32.400001525878906" hidden="0" customHeight="1">
      <x:c r="A2" s="23" t="str">
        <x:v>excellent</x:v>
      </x:c>
      <x:c r="B2" s="23" t="n">
        <x:v>1</x:v>
      </x:c>
      <x:c r="C2" s="23" t="n">
        <x:v>0.2</x:v>
      </x:c>
      <x:c r="D2" s="23" t="n">
        <x:v>0</x:v>
      </x:c>
      <x:c r="E2" s="23" t="str">
        <x:v>PROPOSED</x:v>
      </x:c>
      <x:c r="F2" s="23" t="str">
        <x:v>판매가 전액과 20% 팁</x:v>
      </x:c>
      <x:c r="G2" s="23" t="str">
        <x:v>Full sale price plus a 20% tip</x:v>
      </x:c>
    </x:row>
    <x:row r="3" ht="21.600000381469727" hidden="0" customHeight="1">
      <x:c r="A3" s="23" t="str">
        <x:v>good</x:v>
      </x:c>
      <x:c r="B3" s="23" t="n">
        <x:v>1</x:v>
      </x:c>
      <x:c r="C3" s="23" t="n">
        <x:v>0</x:v>
      </x:c>
      <x:c r="D3" s="23" t="n">
        <x:v>0</x:v>
      </x:c>
      <x:c r="E3" s="23" t="str">
        <x:v>PROPOSED</x:v>
      </x:c>
      <x:c r="F3" s="23" t="str">
        <x:v>판매가 전액</x:v>
      </x:c>
      <x:c r="G3" s="23" t="str">
        <x:v>Full sale price</x:v>
      </x:c>
    </x:row>
    <x:row r="4" ht="32.400001525878906" hidden="0" customHeight="1">
      <x:c r="A4" s="23" t="str">
        <x:v>decent</x:v>
      </x:c>
      <x:c r="B4" s="23" t="n">
        <x:v>1</x:v>
      </x:c>
      <x:c r="C4" s="23" t="n">
        <x:v>0</x:v>
      </x:c>
      <x:c r="D4" s="23" t="n">
        <x:v>0</x:v>
      </x:c>
      <x:c r="E4" s="23" t="str">
        <x:v>PROPOSED</x:v>
      </x:c>
      <x:c r="F4" s="23" t="str">
        <x:v>판매가 전액. 팁 없음</x:v>
      </x:c>
      <x:c r="G4" s="23" t="str">
        <x:v>Full sale price with no tip</x:v>
      </x:c>
    </x:row>
    <x:row r="5" ht="32.400001525878906" hidden="0" customHeight="1">
      <x:c r="A5" s="23" t="str">
        <x:v>poor</x:v>
      </x:c>
      <x:c r="B5" s="23" t="n">
        <x:v>1</x:v>
      </x:c>
      <x:c r="C5" s="23" t="n">
        <x:v>0</x:v>
      </x:c>
      <x:c r="D5" s="23" t="n">
        <x:v>0</x:v>
      </x:c>
      <x:c r="E5" s="23" t="str">
        <x:v>PROPOSED</x:v>
      </x:c>
      <x:c r="F5" s="23" t="str">
        <x:v>판매가 전액. 팁 없음</x:v>
      </x:c>
      <x:c r="G5" s="23" t="str">
        <x:v>Full sale price with no tip</x:v>
      </x:c>
    </x:row>
    <x:row r="6" ht="43.20000076293945" hidden="0" customHeight="1">
      <x:c r="A6" s="23" t="str">
        <x:v>sewage</x:v>
      </x:c>
      <x:c r="B6" s="23" t="n">
        <x:v>0</x:v>
      </x:c>
      <x:c r="C6" s="23" t="n">
        <x:v>0</x:v>
      </x:c>
      <x:c r="D6" s="23" t="n">
        <x:v>1</x:v>
      </x:c>
      <x:c r="E6" s="23" t="str">
        <x:v>PROPOSED</x:v>
      </x:c>
      <x:c r="F6" s="23" t="str">
        <x:v>판매가만큼 환불 손해</x:v>
      </x:c>
      <x:c r="G6" s="23" t="str">
        <x:v>Refund loss equal to the served cocktail price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34" hidden="0" customWidth="1"/>
    <x:col min="6" max="6" width="34" hidden="0" customWidth="1"/>
  </x:cols>
  <x:sheetData>
    <x:row r="1" ht="28" customHeight="1">
      <x:c r="A1" s="19" t="str">
        <x:v>enum_group</x:v>
      </x:c>
      <x:c r="B1" s="19" t="str">
        <x:v>value</x:v>
      </x:c>
      <x:c r="C1" s="19" t="str">
        <x:v>label_ko</x:v>
      </x:c>
      <x:c r="D1" s="19" t="str">
        <x:v>label_en</x:v>
      </x:c>
      <x:c r="E1" s="19" t="str">
        <x:v>description_ko</x:v>
      </x:c>
      <x:c r="F1" s="19" t="str">
        <x:v>description_en</x:v>
      </x:c>
    </x:row>
    <x:row r="2" ht="21.600000381469727" hidden="0" customHeight="1">
      <x:c r="A2" s="23" t="str">
        <x:v>ROSTER_STATUS</x:v>
      </x:c>
      <x:c r="B2" s="23" t="str">
        <x:v>ACTIVE</x:v>
      </x:c>
      <x:c r="C2" s="23" t="str">
        <x:v>사용</x:v>
      </x:c>
      <x:c r="D2" s="23" t="str">
        <x:v>Active</x:v>
      </x:c>
      <x:c r="E2" s="23" t="str">
        <x:v>게임에 포함한다.</x:v>
      </x:c>
      <x:c r="F2" s="23" t="str">
        <x:v>Included in the game.</x:v>
      </x:c>
    </x:row>
    <x:row r="3" ht="64.80000305175781" hidden="0" customHeight="1">
      <x:c r="A3" s="23" t="str">
        <x:v>ROSTER_STATUS</x:v>
      </x:c>
      <x:c r="B3" s="23" t="str">
        <x:v>HIDDEN</x:v>
      </x:c>
      <x:c r="C3" s="23" t="str">
        <x:v>숨김</x:v>
      </x:c>
      <x:c r="D3" s="23" t="str">
        <x:v>Hidden</x:v>
      </x:c>
      <x:c r="E3" s="23" t="str">
        <x:v>데이터는 유지하지만 메뉴와 주문 풀에서 제외한다.</x:v>
      </x:c>
      <x:c r="F3" s="23" t="str">
        <x:v>Retained in data but excluded from menus and order pools.</x:v>
      </x:c>
    </x:row>
    <x:row r="4" ht="43.20000076293945" hidden="0" customHeight="1">
      <x:c r="A4" s="23" t="str">
        <x:v>ROSTER_STATUS</x:v>
      </x:c>
      <x:c r="B4" s="23" t="str">
        <x:v>RETIRED</x:v>
      </x:c>
      <x:c r="C4" s="23" t="str">
        <x:v>폐기</x:v>
      </x:c>
      <x:c r="D4" s="23" t="str">
        <x:v>Retired</x:v>
      </x:c>
      <x:c r="E4" s="23" t="str">
        <x:v>마이그레이션 기록만 유지한다.</x:v>
      </x:c>
      <x:c r="F4" s="23" t="str">
        <x:v>Retained only for migration history.</x:v>
      </x:c>
    </x:row>
    <x:row r="5" ht="64.80000305175781" hidden="0" customHeight="1">
      <x:c r="A5" s="23" t="str">
        <x:v>REQUIREMENT</x:v>
      </x:c>
      <x:c r="B5" s="23" t="str">
        <x:v>CORE</x:v>
      </x:c>
      <x:c r="C5" s="23" t="str">
        <x:v>핵심</x:v>
      </x:c>
      <x:c r="D5" s="23" t="str">
        <x:v>Core</x:v>
      </x:c>
      <x:c r="E5" s="23" t="str">
        <x:v>누락 시 최종 서빙 등급을 Sewage로 바꾼다.</x:v>
      </x:c>
      <x:c r="F5" s="23" t="str">
        <x:v>Forces the final serving grade to Sewage when missing.</x:v>
      </x:c>
    </x:row>
    <x:row r="6" ht="43.20000076293945" hidden="0" customHeight="1">
      <x:c r="A6" s="23" t="str">
        <x:v>REQUIREMENT</x:v>
      </x:c>
      <x:c r="B6" s="23" t="str">
        <x:v>REQUIRED</x:v>
      </x:c>
      <x:c r="C6" s="23" t="str">
        <x:v>필수</x:v>
      </x:c>
      <x:c r="D6" s="23" t="str">
        <x:v>Required</x:v>
      </x:c>
      <x:c r="E6" s="23" t="str">
        <x:v>누락한 단계는 0점으로 한 번만 반영한다.</x:v>
      </x:c>
      <x:c r="F6" s="23" t="str">
        <x:v>Scores the missing step as zero exactly once.</x:v>
      </x:c>
    </x:row>
    <x:row r="7" ht="43.20000076293945" hidden="0" customHeight="1">
      <x:c r="A7" s="23" t="str">
        <x:v>REQUIREMENT</x:v>
      </x:c>
      <x:c r="B7" s="23" t="str">
        <x:v>OPTIONAL</x:v>
      </x:c>
      <x:c r="C7" s="23" t="str">
        <x:v>선택</x:v>
      </x:c>
      <x:c r="D7" s="23" t="str">
        <x:v>Optional</x:v>
      </x:c>
      <x:c r="E7" s="23" t="str">
        <x:v>선택하지 않아도 감점하지 않는다.</x:v>
      </x:c>
      <x:c r="F7" s="23" t="str">
        <x:v>No penalty when omitted.</x:v>
      </x:c>
    </x:row>
    <x:row r="8" ht="32.400001525878906" hidden="0" customHeight="1">
      <x:c r="A8" s="23" t="str">
        <x:v>INPUT_MODE</x:v>
      </x:c>
      <x:c r="B8" s="23" t="str">
        <x:v>MANUAL_SELECT</x:v>
      </x:c>
      <x:c r="C8" s="23" t="str">
        <x:v>직접 선택</x:v>
      </x:c>
      <x:c r="D8" s="23" t="str">
        <x:v>Manual Select</x:v>
      </x:c>
      <x:c r="E8" s="23" t="str">
        <x:v>선반에서 플레이어가 직접 선택한다.</x:v>
      </x:c>
      <x:c r="F8" s="23" t="str">
        <x:v>Selected manually from a shelf.</x:v>
      </x:c>
    </x:row>
    <x:row r="9" ht="75.5999984741211" hidden="0" customHeight="1">
      <x:c r="A9" s="23" t="str">
        <x:v>INPUT_MODE</x:v>
      </x:c>
      <x:c r="B9" s="23" t="str">
        <x:v>GUIDED_GIMMICK</x:v>
      </x:c>
      <x:c r="C9" s="23" t="str">
        <x:v>자동 호출</x:v>
      </x:c>
      <x:c r="D9" s="23" t="str">
        <x:v>Guided Gimmick</x:v>
      </x:c>
      <x:c r="E9" s="23" t="str">
        <x:v>레시피가 재료를 호출하고 플레이어가 기믹을 수행한다.</x:v>
      </x:c>
      <x:c r="F9" s="23" t="str">
        <x:v>The recipe calls the ingredient and the player performs the gimmick.</x:v>
      </x:c>
    </x:row>
    <x:row r="10" ht="32.400001525878906" hidden="0" customHeight="1">
      <x:c r="A10" s="23" t="str">
        <x:v>INPUT_MODE</x:v>
      </x:c>
      <x:c r="B10" s="23" t="str">
        <x:v>AUTO_APPLY</x:v>
      </x:c>
      <x:c r="C10" s="23" t="str">
        <x:v>자동 적용</x:v>
      </x:c>
      <x:c r="D10" s="23" t="str">
        <x:v>Auto Apply</x:v>
      </x:c>
      <x:c r="E10" s="23" t="str">
        <x:v>플레이어 조작 없이 적용한다.</x:v>
      </x:c>
      <x:c r="F10" s="23" t="str">
        <x:v>Applied without player input.</x:v>
      </x:c>
    </x:row>
    <x:row r="11" ht="54" hidden="0" customHeight="1">
      <x:c r="A11" s="23" t="str">
        <x:v>QUANTITY_MODE</x:v>
      </x:c>
      <x:c r="B11" s="23" t="str">
        <x:v>EXACT_VOLUME</x:v>
      </x:c>
      <x:c r="C11" s="23" t="str">
        <x:v>정확한 용량</x:v>
      </x:c>
      <x:c r="D11" s="23" t="str">
        <x:v>Exact Volume</x:v>
      </x:c>
      <x:c r="E11" s="23" t="str">
        <x:v>ml로 변환한 목표량을 비교한다.</x:v>
      </x:c>
      <x:c r="F11" s="23" t="str">
        <x:v>Compare the target volume after converting it to milliliters.</x:v>
      </x:c>
    </x:row>
    <x:row r="12" ht="64.80000305175781" hidden="0" customHeight="1">
      <x:c r="A12" s="23" t="str">
        <x:v>QUANTITY_MODE</x:v>
      </x:c>
      <x:c r="B12" s="23" t="str">
        <x:v>FILL_TO_CAPACITY</x:v>
      </x:c>
      <x:c r="C12" s="23" t="str">
        <x:v>잔 채우기</x:v>
      </x:c>
      <x:c r="D12" s="23" t="str">
        <x:v>Fill to Capacity</x:v>
      </x:c>
      <x:c r="E12" s="23" t="str">
        <x:v>잔의 남은 용량을 기준으로 채움 비율을 비교한다.</x:v>
      </x:c>
      <x:c r="F12" s="23" t="str">
        <x:v>Compare the fill ratio against the remaining glass capacity.</x:v>
      </x:c>
    </x:row>
    <x:row r="13" ht="54" hidden="0" customHeight="1">
      <x:c r="A13" s="23" t="str">
        <x:v>QUANTITY_MODE</x:v>
      </x:c>
      <x:c r="B13" s="23" t="str">
        <x:v>TBD</x:v>
      </x:c>
      <x:c r="C13" s="23" t="str">
        <x:v>미확정</x:v>
      </x:c>
      <x:c r="D13" s="23" t="str">
        <x:v>To Be Determined</x:v>
      </x:c>
      <x:c r="E13" s="23" t="str">
        <x:v>목표 수량이 확정되기 전에는 배포할 수 없다.</x:v>
      </x:c>
      <x:c r="F13" s="23" t="str">
        <x:v>Cannot be shipped until the target quantity is finalized.</x:v>
      </x:c>
    </x:row>
    <x:row r="14" ht="32.400001525878906" hidden="0" customHeight="1">
      <x:c r="A14" s="23" t="str">
        <x:v>ICE_MODE</x:v>
      </x:c>
      <x:c r="B14" s="23" t="str">
        <x:v>NONE</x:v>
      </x:c>
      <x:c r="C14" s="23" t="str">
        <x:v>얼음 없음</x:v>
      </x:c>
      <x:c r="D14" s="23" t="str">
        <x:v>No Ice</x:v>
      </x:c>
      <x:c r="E14" s="23" t="str">
        <x:v>얼음을 사용하지 않는다.</x:v>
      </x:c>
      <x:c r="F14" s="23" t="str">
        <x:v>Do not use ice.</x:v>
      </x:c>
    </x:row>
    <x:row r="15" ht="21.600000381469727" hidden="0" customHeight="1">
      <x:c r="A15" s="23" t="str">
        <x:v>ICE_MODE</x:v>
      </x:c>
      <x:c r="B15" s="23" t="str">
        <x:v>CUBED</x:v>
      </x:c>
      <x:c r="C15" s="23" t="str">
        <x:v>각얼음</x:v>
      </x:c>
      <x:c r="D15" s="23" t="str">
        <x:v>Cubed Ice</x:v>
      </x:c>
      <x:c r="E15" s="23" t="str">
        <x:v>각얼음을 사용한다.</x:v>
      </x:c>
      <x:c r="F15" s="23" t="str">
        <x:v>Use cubed ice.</x:v>
      </x:c>
    </x:row>
    <x:row r="16" ht="21.600000381469727" hidden="0" customHeight="1">
      <x:c r="A16" s="23" t="str">
        <x:v>ICE_MODE</x:v>
      </x:c>
      <x:c r="B16" s="23" t="str">
        <x:v>CRUSHED</x:v>
      </x:c>
      <x:c r="C16" s="23" t="str">
        <x:v>분쇄 얼음</x:v>
      </x:c>
      <x:c r="D16" s="23" t="str">
        <x:v>Crushed Ice</x:v>
      </x:c>
      <x:c r="E16" s="23" t="str">
        <x:v>분쇄 얼음을 사용한다.</x:v>
      </x:c>
      <x:c r="F16" s="23" t="str">
        <x:v>Use crushed ice.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2" hidden="0" customWidth="1"/>
    <x:col min="5" max="5" width="17" hidden="0" customWidth="1"/>
    <x:col min="6" max="6" width="34" hidden="0" customWidth="1"/>
    <x:col min="7" max="7" width="34" hidden="0" customWidth="1"/>
  </x:cols>
  <x:sheetData>
    <x:row r="1" ht="28" customHeight="1">
      <x:c r="A1" s="19" t="str">
        <x:v>legacy_entity</x:v>
      </x:c>
      <x:c r="B1" s="19" t="str">
        <x:v>legacy_id</x:v>
      </x:c>
      <x:c r="C1" s="19" t="str">
        <x:v>canonical_entity</x:v>
      </x:c>
      <x:c r="D1" s="19" t="str">
        <x:v>canonical_id</x:v>
      </x:c>
      <x:c r="E1" s="19" t="str">
        <x:v>action</x:v>
      </x:c>
      <x:c r="F1" s="19" t="str">
        <x:v>note_ko</x:v>
      </x:c>
      <x:c r="G1" s="19" t="str">
        <x:v>note_en</x:v>
      </x:c>
    </x:row>
    <x:row r="2" ht="43.20000076293945" hidden="0" customHeight="1">
      <x:c r="A2" s="23" t="str">
        <x:v>Cocktail</x:v>
      </x:c>
      <x:c r="B2" s="23" t="str">
        <x:v>long_island</x:v>
      </x:c>
      <x:c r="C2" s="23" t="str">
        <x:v>Cocktail</x:v>
      </x:c>
      <x:c r="D2" s="23" t="str">
        <x:v>long_island_iced_tea</x:v>
      </x:c>
      <x:c r="E2" s="23" t="str">
        <x:v>RENAME</x:v>
      </x:c>
      <x:c r="F2" s="23" t="str">
        <x:v>전체 이름을 ID에 반영</x:v>
      </x:c>
      <x:c r="G2" s="23" t="str">
        <x:v>Use the full cocktail name in the ID.</x:v>
      </x:c>
    </x:row>
    <x:row r="3" ht="64.80000305175781" hidden="0" customHeight="1">
      <x:c r="A3" s="23" t="str">
        <x:v>Cocktail</x:v>
      </x:c>
      <x:c r="B3" s="23" t="str">
        <x:v>bees_knees</x:v>
      </x:c>
      <x:c r="C3" s="23" t="str"/>
      <x:c r="D3" s="23" t="str"/>
      <x:c r="E3" s="23" t="str">
        <x:v>REMOVE</x:v>
      </x:c>
      <x:c r="F3" s="23" t="str">
        <x:v>데모 로스터와 관련 꿀 퀘스트에서 삭제</x:v>
      </x:c>
      <x:c r="G3" s="23" t="str">
        <x:v>Remove it from the demo roster and the related honey quest.</x:v>
      </x:c>
    </x:row>
    <x:row r="4" ht="75.5999984741211" hidden="0" customHeight="1">
      <x:c r="A4" s="23" t="str">
        <x:v>Ingredient</x:v>
      </x:c>
      <x:c r="B4" s="23" t="str">
        <x:v>honey_syrup</x:v>
      </x:c>
      <x:c r="C4" s="23" t="str"/>
      <x:c r="D4" s="23" t="str"/>
      <x:c r="E4" s="23" t="str">
        <x:v>REMOVE</x:v>
      </x:c>
      <x:c r="F4" s="23" t="str">
        <x:v>현재 29종 레시피에서 사용하지 않으며 꿀 퀘스트 삭제와 함께 제거</x:v>
      </x:c>
      <x:c r="G4" s="23" t="str">
        <x:v>Remove it with the honey quest because no current recipe uses it.</x:v>
      </x:c>
    </x:row>
    <x:row r="5" ht="64.80000305175781" hidden="0" customHeight="1">
      <x:c r="A5" s="23" t="str">
        <x:v>Ingredient</x:v>
      </x:c>
      <x:c r="B5" s="23" t="str">
        <x:v>green_peppermint</x:v>
      </x:c>
      <x:c r="C5" s="23" t="str">
        <x:v>Ingredient</x:v>
      </x:c>
      <x:c r="D5" s="23" t="str">
        <x:v>green_creme_de_menthe</x:v>
      </x:c>
      <x:c r="E5" s="23" t="str">
        <x:v>RENAME</x:v>
      </x:c>
      <x:c r="F5" s="23" t="str">
        <x:v>통용되는 재료명으로 변경</x:v>
      </x:c>
      <x:c r="G5" s="23" t="str">
        <x:v>Rename it to the commonly used ingredient name.</x:v>
      </x:c>
    </x:row>
    <x:row r="6" ht="64.80000305175781" hidden="0" customHeight="1">
      <x:c r="A6" s="23" t="str">
        <x:v>Ingredient</x:v>
      </x:c>
      <x:c r="B6" s="23" t="str">
        <x:v>white_cacao</x:v>
      </x:c>
      <x:c r="C6" s="23" t="str">
        <x:v>Ingredient</x:v>
      </x:c>
      <x:c r="D6" s="23" t="str">
        <x:v>white_creme_de_cacao</x:v>
      </x:c>
      <x:c r="E6" s="23" t="str">
        <x:v>RENAME</x:v>
      </x:c>
      <x:c r="F6" s="23" t="str">
        <x:v>통용되는 재료명으로 변경</x:v>
      </x:c>
      <x:c r="G6" s="23" t="str">
        <x:v>Rename it to the commonly used ingredient name.</x:v>
      </x:c>
    </x:row>
    <x:row r="7" ht="43.20000076293945" hidden="0" customHeight="1">
      <x:c r="A7" s="23" t="str">
        <x:v>Glass</x:v>
      </x:c>
      <x:c r="B7" s="23" t="str">
        <x:v>cocktail</x:v>
      </x:c>
      <x:c r="C7" s="23" t="str">
        <x:v>Glass</x:v>
      </x:c>
      <x:c r="D7" s="23" t="str">
        <x:v>cocktail_glass</x:v>
      </x:c>
      <x:c r="E7" s="23" t="str">
        <x:v>RENAME</x:v>
      </x:c>
      <x:c r="F7" s="23" t="str">
        <x:v>타입 충돌을 막기 위해 접미사 추가</x:v>
      </x:c>
      <x:c r="G7" s="23" t="str">
        <x:v>Add a suffix to prevent entity-type collisions.</x:v>
      </x:c>
    </x:row>
    <x:row r="8" ht="43.20000076293945" hidden="0" customHeight="1">
      <x:c r="A8" s="23" t="str">
        <x:v>Glass</x:v>
      </x:c>
      <x:c r="B8" s="23" t="str">
        <x:v>long_drink</x:v>
      </x:c>
      <x:c r="C8" s="23" t="str">
        <x:v>Glass</x:v>
      </x:c>
      <x:c r="D8" s="23" t="str">
        <x:v>long_drink_glass</x:v>
      </x:c>
      <x:c r="E8" s="23" t="str">
        <x:v>RENAME</x:v>
      </x:c>
      <x:c r="F8" s="23" t="str">
        <x:v>타입 충돌을 막기 위해 접미사 추가</x:v>
      </x:c>
      <x:c r="G8" s="23" t="str">
        <x:v>Add a suffix to prevent entity-type collisions.</x:v>
      </x:c>
    </x:row>
    <x:row r="9" ht="43.20000076293945" hidden="0" customHeight="1">
      <x:c r="A9" s="23" t="str">
        <x:v>Glass</x:v>
      </x:c>
      <x:c r="B9" s="23" t="str">
        <x:v>old_fashioned</x:v>
      </x:c>
      <x:c r="C9" s="23" t="str">
        <x:v>Glass</x:v>
      </x:c>
      <x:c r="D9" s="23" t="str">
        <x:v>old_fashioned_glass</x:v>
      </x:c>
      <x:c r="E9" s="23" t="str">
        <x:v>RENAME</x:v>
      </x:c>
      <x:c r="F9" s="23" t="str">
        <x:v>타입 충돌을 막기 위해 접미사 추가</x:v>
      </x:c>
      <x:c r="G9" s="23" t="str">
        <x:v>Add a suffix to prevent entity-type collisions.</x:v>
      </x:c>
    </x:row>
    <x:row r="10" ht="43.20000076293945" hidden="0" customHeight="1">
      <x:c r="A10" s="23" t="str">
        <x:v>Glass</x:v>
      </x:c>
      <x:c r="B10" s="23" t="str">
        <x:v>wine</x:v>
      </x:c>
      <x:c r="C10" s="23" t="str">
        <x:v>Glass</x:v>
      </x:c>
      <x:c r="D10" s="23" t="str">
        <x:v>wine_glass</x:v>
      </x:c>
      <x:c r="E10" s="23" t="str">
        <x:v>RENAME</x:v>
      </x:c>
      <x:c r="F10" s="23" t="str">
        <x:v>타입 충돌을 막기 위해 접미사 추가</x:v>
      </x:c>
      <x:c r="G10" s="23" t="str">
        <x:v>Add a suffix to prevent entity-type collisions.</x:v>
      </x:c>
    </x:row>
    <x:row r="11" ht="43.20000076293945" hidden="0" customHeight="1">
      <x:c r="A11" s="23" t="str">
        <x:v>Glass</x:v>
      </x:c>
      <x:c r="B11" s="23" t="str">
        <x:v>beer</x:v>
      </x:c>
      <x:c r="C11" s="23" t="str">
        <x:v>Glass</x:v>
      </x:c>
      <x:c r="D11" s="23" t="str">
        <x:v>beer_mug</x:v>
      </x:c>
      <x:c r="E11" s="23" t="str">
        <x:v>RENAME</x:v>
      </x:c>
      <x:c r="F11" s="23" t="str">
        <x:v>실제 자산 형태를 드러내도록 변경</x:v>
      </x:c>
      <x:c r="G11" s="23" t="str">
        <x:v>Rename it to reflect the actual asset shape.</x:v>
      </x:c>
    </x:row>
    <x:row r="12" ht="43.20000076293945" hidden="0" customHeight="1">
      <x:c r="A12" s="23" t="str">
        <x:v>Glass</x:v>
      </x:c>
      <x:c r="B12" s="23" t="str">
        <x:v>sour</x:v>
      </x:c>
      <x:c r="C12" s="23" t="str">
        <x:v>Glass</x:v>
      </x:c>
      <x:c r="D12" s="23" t="str">
        <x:v>sour_glass</x:v>
      </x:c>
      <x:c r="E12" s="23" t="str">
        <x:v>RENAME</x:v>
      </x:c>
      <x:c r="F12" s="23" t="str">
        <x:v>타입 충돌을 막기 위해 접미사 추가</x:v>
      </x:c>
      <x:c r="G12" s="23" t="str">
        <x:v>Add a suffix to prevent entity-type collisions.</x:v>
      </x:c>
    </x:row>
    <x:row r="13" ht="54" hidden="0" customHeight="1">
      <x:c r="A13" s="23" t="str">
        <x:v>Tool</x:v>
      </x:c>
      <x:c r="B13" s="23" t="str">
        <x:v>none</x:v>
      </x:c>
      <x:c r="C13" s="23" t="str"/>
      <x:c r="D13" s="23" t="str"/>
      <x:c r="E13" s="23" t="str">
        <x:v>MAP_TO_NULL</x:v>
      </x:c>
      <x:c r="F13" s="23" t="str">
        <x:v>가짜 마스터 행을 제거하고 빈 참조값으로 표현</x:v>
      </x:c>
      <x:c r="G13" s="23" t="str">
        <x:v>Remove the fake master row and use a null reference.</x:v>
      </x:c>
    </x:row>
    <x:row r="14" ht="43.20000076293945" hidden="0" customHeight="1">
      <x:c r="A14" s="23" t="str">
        <x:v>Field</x:v>
      </x:c>
      <x:c r="B14" s="23" t="str">
        <x:v>available_from_day</x:v>
      </x:c>
      <x:c r="C14" s="23" t="str">
        <x:v>Field</x:v>
      </x:c>
      <x:c r="D14" s="23" t="str">
        <x:v>unlock_story_day</x:v>
      </x:c>
      <x:c r="E14" s="23" t="str">
        <x:v>RENAME</x:v>
      </x:c>
      <x:c r="F14" s="23" t="str">
        <x:v>튜토리얼을 Day 0으로 쓰는 의미를 명확히 함</x:v>
      </x:c>
      <x:c r="G14" s="23" t="str">
        <x:v>Clarify that the tutorial is story Day 0.</x:v>
      </x:c>
    </x:row>
    <x:row r="15" ht="43.20000076293945" hidden="0" customHeight="1">
      <x:c r="A15" s="23" t="str">
        <x:v>Field</x:v>
      </x:c>
      <x:c r="B15" s="23" t="str">
        <x:v>core_ingredients</x:v>
      </x:c>
      <x:c r="C15" s="23" t="str">
        <x:v>RecipeSteps</x:v>
      </x:c>
      <x:c r="D15" s="23" t="str">
        <x:v>requirement=CORE</x:v>
      </x:c>
      <x:c r="E15" s="23" t="str">
        <x:v>NORMALIZE</x:v>
      </x:c>
      <x:c r="F15" s="23" t="str">
        <x:v>세미콜론 목록을 관계 행으로 분리</x:v>
      </x:c>
      <x:c r="G15" s="23" t="str">
        <x:v>Normalize the packed list into relation rows.</x:v>
      </x:c>
    </x:row>
    <x:row r="16" ht="43.20000076293945" hidden="0" customHeight="1">
      <x:c r="A16" s="23" t="str">
        <x:v>Field</x:v>
      </x:c>
      <x:c r="B16" s="23" t="str">
        <x:v>tags</x:v>
      </x:c>
      <x:c r="C16" s="23" t="str">
        <x:v>CocktailTags</x:v>
      </x:c>
      <x:c r="D16" s="23" t="str">
        <x:v>cocktail_id+tag_id</x:v>
      </x:c>
      <x:c r="E16" s="23" t="str">
        <x:v>NORMALIZE</x:v>
      </x:c>
      <x:c r="F16" s="23" t="str">
        <x:v>세미콜론 목록을 관계 행으로 분리</x:v>
      </x:c>
      <x:c r="G16" s="23" t="str">
        <x:v>Normalize the packed list into relation rows.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19" t="str">
        <x:v>entity</x:v>
      </x:c>
      <x:c r="B1" s="19" t="str">
        <x:v>entity_id</x:v>
      </x:c>
      <x:c r="C1" s="19" t="str">
        <x:v>ko_field</x:v>
      </x:c>
      <x:c r="D1" s="19" t="str">
        <x:v>en_field</x:v>
      </x:c>
      <x:c r="E1" s="19" t="str">
        <x:v>ko_value</x:v>
      </x:c>
      <x:c r="F1" s="19" t="str">
        <x:v>en_value</x:v>
      </x:c>
      <x:c r="G1" s="19" t="str">
        <x:v>result</x:v>
      </x:c>
    </x:row>
    <x:row r="2" ht="15" hidden="0" customHeight="1">
      <x:c r="A2" s="23" t="str">
        <x:v>Cocktails</x:v>
      </x:c>
      <x:c r="B2" s="23" t="str">
        <x:v>dry_martini</x:v>
      </x:c>
      <x:c r="C2" s="23" t="str">
        <x:v>name_ko</x:v>
      </x:c>
      <x:c r="D2" s="23" t="str">
        <x:v>name_en</x:v>
      </x:c>
      <x:c r="E2" s="23" t="str">
        <x:f>Cocktails!F2</x:f>
        <x:v>드라이 마티니</x:v>
      </x:c>
      <x:c r="F2" s="23" t="str">
        <x:f>Cocktails!G2</x:f>
        <x:v>Dry Martini</x:v>
      </x:c>
      <x:c r="G2" s="23" t="str">
        <x:f>IF(AND(E2&lt;&gt;"",F2&lt;&gt;""),"OK","MISSING")</x:f>
        <x:v>OK</x:v>
      </x:c>
    </x:row>
    <x:row r="3" ht="15" hidden="0" customHeight="1">
      <x:c r="A3" s="23" t="str">
        <x:v>Cocktails</x:v>
      </x:c>
      <x:c r="B3" s="23" t="str">
        <x:v>dry_martini</x:v>
      </x:c>
      <x:c r="C3" s="23" t="str">
        <x:v>flavor_ko</x:v>
      </x:c>
      <x:c r="D3" s="23" t="str">
        <x:v>flavor_en</x:v>
      </x:c>
      <x:c r="E3" s="23" t="str">
        <x:f>Cocktails!R2</x:f>
        <x:v>젓지 말고 흔들어서, 라고 말하는 손님을 조심할 것.</x:v>
      </x:c>
      <x:c r="F3" s="23" t="str">
        <x:f>Cocktails!S2</x:f>
        <x:v>Beware the customer who says 'shaken, not stirred.'</x:v>
      </x:c>
      <x:c r="G3" s="23" t="str">
        <x:f>IF(AND(E3&lt;&gt;"",F3&lt;&gt;""),"OK","MISSING")</x:f>
        <x:v>OK</x:v>
      </x:c>
    </x:row>
    <x:row r="4" ht="21.600000381469727" hidden="0" customHeight="1">
      <x:c r="A4" s="23" t="str">
        <x:v>Cocktails</x:v>
      </x:c>
      <x:c r="B4" s="23" t="str">
        <x:v>dry_martini</x:v>
      </x:c>
      <x:c r="C4" s="23" t="str">
        <x:v>recipe_summary_ko</x:v>
      </x:c>
      <x:c r="D4" s="23" t="str">
        <x:v>recipe_summary_en</x:v>
      </x:c>
      <x:c r="E4" s="23" t="str">
        <x:f>Cocktails!T2</x:f>
        <x:v>진과 드라이 버무스를 따른 뒤 믹싱 글라스로 스터한다.</x:v>
      </x:c>
      <x:c r="F4" s="23" t="str">
        <x:f>Cocktails!U2</x:f>
        <x:v>Pour the gin and dry vermouth, then stir them in a mixing glass.</x:v>
      </x:c>
      <x:c r="G4" s="23" t="str">
        <x:f>IF(AND(E4&lt;&gt;"",F4&lt;&gt;""),"OK","MISSING")</x:f>
        <x:v>OK</x:v>
      </x:c>
    </x:row>
    <x:row r="5" ht="21.600000381469727" hidden="0" customHeight="1">
      <x:c r="A5" s="23" t="str">
        <x:v>Cocktails</x:v>
      </x:c>
      <x:c r="B5" s="23" t="str">
        <x:v>cosmopolitan</x:v>
      </x:c>
      <x:c r="C5" s="23" t="str">
        <x:v>name_ko</x:v>
      </x:c>
      <x:c r="D5" s="23" t="str">
        <x:v>name_en</x:v>
      </x:c>
      <x:c r="E5" s="23" t="str">
        <x:f>Cocktails!F3</x:f>
        <x:v>코스모폴리탄</x:v>
      </x:c>
      <x:c r="F5" s="23" t="str">
        <x:f>Cocktails!G3</x:f>
        <x:v>Cosmopolitan</x:v>
      </x:c>
      <x:c r="G5" s="23" t="str">
        <x:f>IF(AND(E5&lt;&gt;"",F5&lt;&gt;""),"OK","MISSING")</x:f>
        <x:v>OK</x:v>
      </x:c>
    </x:row>
    <x:row r="6" ht="21.600000381469727" hidden="0" customHeight="1">
      <x:c r="A6" s="23" t="str">
        <x:v>Cocktails</x:v>
      </x:c>
      <x:c r="B6" s="23" t="str">
        <x:v>cosmopolitan</x:v>
      </x:c>
      <x:c r="C6" s="23" t="str">
        <x:v>flavor_ko</x:v>
      </x:c>
      <x:c r="D6" s="23" t="str">
        <x:v>flavor_en</x:v>
      </x:c>
      <x:c r="E6" s="23" t="str">
        <x:f>Cocktails!R3</x:f>
        <x:v>도시적인 붉은 빛. 유행은 지나가도 맛은 남는다.</x:v>
      </x:c>
      <x:c r="F6" s="23" t="str">
        <x:f>Cocktails!S3</x:f>
        <x:v>Urban red. Trends pass; the taste stays.</x:v>
      </x:c>
      <x:c r="G6" s="23" t="str">
        <x:f>IF(AND(E6&lt;&gt;"",F6&lt;&gt;""),"OK","MISSING")</x:f>
        <x:v>OK</x:v>
      </x:c>
    </x:row>
    <x:row r="7" ht="21.600000381469727" hidden="0" customHeight="1">
      <x:c r="A7" s="23" t="str">
        <x:v>Cocktails</x:v>
      </x:c>
      <x:c r="B7" s="23" t="str">
        <x:v>cosmopolitan</x:v>
      </x:c>
      <x:c r="C7" s="23" t="str">
        <x:v>recipe_summary_ko</x:v>
      </x:c>
      <x:c r="D7" s="23" t="str">
        <x:v>recipe_summary_en</x:v>
      </x:c>
      <x:c r="E7" s="23" t="str">
        <x:f>Cocktails!T3</x:f>
        <x:v>보드카·쿠앵트로·크랜베리주스를 따르고 라임을 스퀴즈한 뒤 셰이크한다.</x:v>
      </x:c>
      <x:c r="F7" s="23" t="str">
        <x:f>Cocktails!U3</x:f>
        <x:v>Pour the vodka, Cointreau, and cranberry juice, squeeze the lime, then shake.</x:v>
      </x:c>
      <x:c r="G7" s="23" t="str">
        <x:f>IF(AND(E7&lt;&gt;"",F7&lt;&gt;""),"OK","MISSING")</x:f>
        <x:v>OK</x:v>
      </x:c>
    </x:row>
    <x:row r="8" ht="15" hidden="0" customHeight="1">
      <x:c r="A8" s="23" t="str">
        <x:v>Cocktails</x:v>
      </x:c>
      <x:c r="B8" s="23" t="str">
        <x:v>gin_fizz</x:v>
      </x:c>
      <x:c r="C8" s="23" t="str">
        <x:v>name_ko</x:v>
      </x:c>
      <x:c r="D8" s="23" t="str">
        <x:v>name_en</x:v>
      </x:c>
      <x:c r="E8" s="23" t="str">
        <x:f>Cocktails!F4</x:f>
        <x:v>진피즈</x:v>
      </x:c>
      <x:c r="F8" s="23" t="str">
        <x:f>Cocktails!G4</x:f>
        <x:v>Gin Fizz</x:v>
      </x:c>
      <x:c r="G8" s="23" t="str">
        <x:f>IF(AND(E8&lt;&gt;"",F8&lt;&gt;""),"OK","MISSING")</x:f>
        <x:v>OK</x:v>
      </x:c>
    </x:row>
    <x:row r="9" ht="15" hidden="0" customHeight="1">
      <x:c r="A9" s="23" t="str">
        <x:v>Cocktails</x:v>
      </x:c>
      <x:c r="B9" s="23" t="str">
        <x:v>gin_fizz</x:v>
      </x:c>
      <x:c r="C9" s="23" t="str">
        <x:v>flavor_ko</x:v>
      </x:c>
      <x:c r="D9" s="23" t="str">
        <x:v>flavor_en</x:v>
      </x:c>
      <x:c r="E9" s="23" t="str">
        <x:f>Cocktails!R4</x:f>
        <x:v>진과 레몬, 그리고 '피즈' 하는 탄산 소리.</x:v>
      </x:c>
      <x:c r="F9" s="23" t="str">
        <x:f>Cocktails!S4</x:f>
        <x:v>Gin, lemon, and that 'fizz' of carbonation.</x:v>
      </x:c>
      <x:c r="G9" s="23" t="str">
        <x:f>IF(AND(E9&lt;&gt;"",F9&lt;&gt;""),"OK","MISSING")</x:f>
        <x:v>OK</x:v>
      </x:c>
    </x:row>
    <x:row r="10" ht="21.600000381469727" hidden="0" customHeight="1">
      <x:c r="A10" s="23" t="str">
        <x:v>Cocktails</x:v>
      </x:c>
      <x:c r="B10" s="23" t="str">
        <x:v>gin_fizz</x:v>
      </x:c>
      <x:c r="C10" s="23" t="str">
        <x:v>recipe_summary_ko</x:v>
      </x:c>
      <x:c r="D10" s="23" t="str">
        <x:v>recipe_summary_en</x:v>
      </x:c>
      <x:c r="E10" s="23" t="str">
        <x:f>Cocktails!T4</x:f>
        <x:v>진을 따르고 레몬을 스퀴즈한 뒤 설탕을 넣어 셰이크하고 소다수로 필업한다.</x:v>
      </x:c>
      <x:c r="F10" s="23" t="str">
        <x:f>Cocktails!U4</x:f>
        <x:v>Pour the gin, squeeze the lemon, add sugar, shake, then top with soda water.</x:v>
      </x:c>
      <x:c r="G10" s="23" t="str">
        <x:f>IF(AND(E10&lt;&gt;"",F10&lt;&gt;""),"OK","MISSING")</x:f>
        <x:v>OK</x:v>
      </x:c>
    </x:row>
    <x:row r="11" ht="15" hidden="0" customHeight="1">
      <x:c r="A11" s="23" t="str">
        <x:v>Cocktails</x:v>
      </x:c>
      <x:c r="B11" s="23" t="str">
        <x:v>kahlua_milk</x:v>
      </x:c>
      <x:c r="C11" s="23" t="str">
        <x:v>name_ko</x:v>
      </x:c>
      <x:c r="D11" s="23" t="str">
        <x:v>name_en</x:v>
      </x:c>
      <x:c r="E11" s="23" t="str">
        <x:f>Cocktails!F5</x:f>
        <x:v>깔루아 밀크</x:v>
      </x:c>
      <x:c r="F11" s="23" t="str">
        <x:f>Cocktails!G5</x:f>
        <x:v>Kahlua Milk</x:v>
      </x:c>
      <x:c r="G11" s="23" t="str">
        <x:f>IF(AND(E11&lt;&gt;"",F11&lt;&gt;""),"OK","MISSING")</x:f>
        <x:v>OK</x:v>
      </x:c>
    </x:row>
    <x:row r="12" ht="15" hidden="0" customHeight="1">
      <x:c r="A12" s="23" t="str">
        <x:v>Cocktails</x:v>
      </x:c>
      <x:c r="B12" s="23" t="str">
        <x:v>kahlua_milk</x:v>
      </x:c>
      <x:c r="C12" s="23" t="str">
        <x:v>flavor_ko</x:v>
      </x:c>
      <x:c r="D12" s="23" t="str">
        <x:v>flavor_en</x:v>
      </x:c>
      <x:c r="E12" s="23" t="str">
        <x:f>Cocktails!R5</x:f>
        <x:v>커피와 우유와 약간의 알코올. 고양이도 탐내는 맛.</x:v>
      </x:c>
      <x:c r="F12" s="23" t="str">
        <x:f>Cocktails!S5</x:f>
        <x:v>Coffee, milk, a little alcohol. Even cats covet it.</x:v>
      </x:c>
      <x:c r="G12" s="23" t="str">
        <x:f>IF(AND(E12&lt;&gt;"",F12&lt;&gt;""),"OK","MISSING")</x:f>
        <x:v>OK</x:v>
      </x:c>
    </x:row>
    <x:row r="13" ht="21.600000381469727" hidden="0" customHeight="1">
      <x:c r="A13" s="23" t="str">
        <x:v>Cocktails</x:v>
      </x:c>
      <x:c r="B13" s="23" t="str">
        <x:v>kahlua_milk</x:v>
      </x:c>
      <x:c r="C13" s="23" t="str">
        <x:v>recipe_summary_ko</x:v>
      </x:c>
      <x:c r="D13" s="23" t="str">
        <x:v>recipe_summary_en</x:v>
      </x:c>
      <x:c r="E13" s="23" t="str">
        <x:f>Cocktails!T5</x:f>
        <x:v>칼루아와 우유를 차례로 따른다.</x:v>
      </x:c>
      <x:c r="F13" s="23" t="str">
        <x:f>Cocktails!U5</x:f>
        <x:v>Pour the Kahlua and milk in order.</x:v>
      </x:c>
      <x:c r="G13" s="23" t="str">
        <x:f>IF(AND(E13&lt;&gt;"",F13&lt;&gt;""),"OK","MISSING")</x:f>
        <x:v>OK</x:v>
      </x:c>
    </x:row>
    <x:row r="14" ht="15" hidden="0" customHeight="1">
      <x:c r="A14" s="23" t="str">
        <x:v>Cocktails</x:v>
      </x:c>
      <x:c r="B14" s="23" t="str">
        <x:v>gin_tonic</x:v>
      </x:c>
      <x:c r="C14" s="23" t="str">
        <x:v>name_ko</x:v>
      </x:c>
      <x:c r="D14" s="23" t="str">
        <x:v>name_en</x:v>
      </x:c>
      <x:c r="E14" s="23" t="str">
        <x:f>Cocktails!F6</x:f>
        <x:v>진토닉</x:v>
      </x:c>
      <x:c r="F14" s="23" t="str">
        <x:f>Cocktails!G6</x:f>
        <x:v>Gin &amp; Tonic</x:v>
      </x:c>
      <x:c r="G14" s="23" t="str">
        <x:f>IF(AND(E14&lt;&gt;"",F14&lt;&gt;""),"OK","MISSING")</x:f>
        <x:v>OK</x:v>
      </x:c>
    </x:row>
    <x:row r="15" ht="15" hidden="0" customHeight="1">
      <x:c r="A15" s="23" t="str">
        <x:v>Cocktails</x:v>
      </x:c>
      <x:c r="B15" s="23" t="str">
        <x:v>gin_tonic</x:v>
      </x:c>
      <x:c r="C15" s="23" t="str">
        <x:v>flavor_ko</x:v>
      </x:c>
      <x:c r="D15" s="23" t="str">
        <x:v>flavor_en</x:v>
      </x:c>
      <x:c r="E15" s="23" t="str">
        <x:f>Cocktails!R6</x:f>
        <x:v>진과 토닉워터. 가장 단순해서 가장 정직한 칵테일.</x:v>
      </x:c>
      <x:c r="F15" s="23" t="str">
        <x:f>Cocktails!S6</x:f>
        <x:v>Gin and tonic. The simplest, and therefore the most honest.</x:v>
      </x:c>
      <x:c r="G15" s="23" t="str">
        <x:f>IF(AND(E15&lt;&gt;"",F15&lt;&gt;""),"OK","MISSING")</x:f>
        <x:v>OK</x:v>
      </x:c>
    </x:row>
    <x:row r="16" ht="21.600000381469727" hidden="0" customHeight="1">
      <x:c r="A16" s="23" t="str">
        <x:v>Cocktails</x:v>
      </x:c>
      <x:c r="B16" s="23" t="str">
        <x:v>gin_tonic</x:v>
      </x:c>
      <x:c r="C16" s="23" t="str">
        <x:v>recipe_summary_ko</x:v>
      </x:c>
      <x:c r="D16" s="23" t="str">
        <x:v>recipe_summary_en</x:v>
      </x:c>
      <x:c r="E16" s="23" t="str">
        <x:f>Cocktails!T6</x:f>
        <x:v>진을 따른 뒤 토닉워터로 필업한다.</x:v>
      </x:c>
      <x:c r="F16" s="23" t="str">
        <x:f>Cocktails!U6</x:f>
        <x:v>Pour the gin, then top with tonic water.</x:v>
      </x:c>
      <x:c r="G16" s="23" t="str">
        <x:f>IF(AND(E16&lt;&gt;"",F16&lt;&gt;""),"OK","MISSING")</x:f>
        <x:v>OK</x:v>
      </x:c>
    </x:row>
    <x:row r="17" ht="15" hidden="0" customHeight="1">
      <x:c r="A17" s="23" t="str">
        <x:v>Cocktails</x:v>
      </x:c>
      <x:c r="B17" s="23" t="str">
        <x:v>red_wine</x:v>
      </x:c>
      <x:c r="C17" s="23" t="str">
        <x:v>name_ko</x:v>
      </x:c>
      <x:c r="D17" s="23" t="str">
        <x:v>name_en</x:v>
      </x:c>
      <x:c r="E17" s="23" t="str">
        <x:f>Cocktails!F7</x:f>
        <x:v>레드와인</x:v>
      </x:c>
      <x:c r="F17" s="23" t="str">
        <x:f>Cocktails!G7</x:f>
        <x:v>Red Wine</x:v>
      </x:c>
      <x:c r="G17" s="23" t="str">
        <x:f>IF(AND(E17&lt;&gt;"",F17&lt;&gt;""),"OK","MISSING")</x:f>
        <x:v>OK</x:v>
      </x:c>
    </x:row>
    <x:row r="18" ht="15" hidden="0" customHeight="1">
      <x:c r="A18" s="23" t="str">
        <x:v>Cocktails</x:v>
      </x:c>
      <x:c r="B18" s="23" t="str">
        <x:v>red_wine</x:v>
      </x:c>
      <x:c r="C18" s="23" t="str">
        <x:v>flavor_ko</x:v>
      </x:c>
      <x:c r="D18" s="23" t="str">
        <x:v>flavor_en</x:v>
      </x:c>
      <x:c r="E18" s="23" t="str">
        <x:f>Cocktails!R7</x:f>
        <x:v>말이 필요 없는 클래식한 한 잔.</x:v>
      </x:c>
      <x:c r="F18" s="23" t="str">
        <x:f>Cocktails!S7</x:f>
        <x:v>A classic glass that needs no introduction.</x:v>
      </x:c>
      <x:c r="G18" s="23" t="str">
        <x:f>IF(AND(E18&lt;&gt;"",F18&lt;&gt;""),"OK","MISSING")</x:f>
        <x:v>OK</x:v>
      </x:c>
    </x:row>
    <x:row r="19" ht="21.600000381469727" hidden="0" customHeight="1">
      <x:c r="A19" s="23" t="str">
        <x:v>Cocktails</x:v>
      </x:c>
      <x:c r="B19" s="23" t="str">
        <x:v>red_wine</x:v>
      </x:c>
      <x:c r="C19" s="23" t="str">
        <x:v>recipe_summary_ko</x:v>
      </x:c>
      <x:c r="D19" s="23" t="str">
        <x:v>recipe_summary_en</x:v>
      </x:c>
      <x:c r="E19" s="23" t="str">
        <x:f>Cocktails!T7</x:f>
        <x:v>레드와인을 따른다.</x:v>
      </x:c>
      <x:c r="F19" s="23" t="str">
        <x:f>Cocktails!U7</x:f>
        <x:v>Pour the red wine.</x:v>
      </x:c>
      <x:c r="G19" s="23" t="str">
        <x:f>IF(AND(E19&lt;&gt;"",F19&lt;&gt;""),"OK","MISSING")</x:f>
        <x:v>OK</x:v>
      </x:c>
    </x:row>
    <x:row r="20" ht="15" hidden="0" customHeight="1">
      <x:c r="A20" s="23" t="str">
        <x:v>Cocktails</x:v>
      </x:c>
      <x:c r="B20" s="23" t="str">
        <x:v>bottle_beer</x:v>
      </x:c>
      <x:c r="C20" s="23" t="str">
        <x:v>name_ko</x:v>
      </x:c>
      <x:c r="D20" s="23" t="str">
        <x:v>name_en</x:v>
      </x:c>
      <x:c r="E20" s="23" t="str">
        <x:f>Cocktails!F8</x:f>
        <x:v>병맥주</x:v>
      </x:c>
      <x:c r="F20" s="23" t="str">
        <x:f>Cocktails!G8</x:f>
        <x:v>Bottled Beer</x:v>
      </x:c>
      <x:c r="G20" s="23" t="str">
        <x:f>IF(AND(E20&lt;&gt;"",F20&lt;&gt;""),"OK","MISSING")</x:f>
        <x:v>OK</x:v>
      </x:c>
    </x:row>
    <x:row r="21" ht="15" hidden="0" customHeight="1">
      <x:c r="A21" s="23" t="str">
        <x:v>Cocktails</x:v>
      </x:c>
      <x:c r="B21" s="23" t="str">
        <x:v>bottle_beer</x:v>
      </x:c>
      <x:c r="C21" s="23" t="str">
        <x:v>flavor_ko</x:v>
      </x:c>
      <x:c r="D21" s="23" t="str">
        <x:v>flavor_en</x:v>
      </x:c>
      <x:c r="E21" s="23" t="str">
        <x:f>Cocktails!R8</x:f>
        <x:v>병째로. 뚜껑 따는 소리가 안주다.</x:v>
      </x:c>
      <x:c r="F21" s="23" t="str">
        <x:f>Cocktails!S8</x:f>
        <x:v>Straight from the bottle. The pop of the cap is the appetizer.</x:v>
      </x:c>
      <x:c r="G21" s="23" t="str">
        <x:f>IF(AND(E21&lt;&gt;"",F21&lt;&gt;""),"OK","MISSING")</x:f>
        <x:v>OK</x:v>
      </x:c>
    </x:row>
    <x:row r="22" ht="21.600000381469727" hidden="0" customHeight="1">
      <x:c r="A22" s="23" t="str">
        <x:v>Cocktails</x:v>
      </x:c>
      <x:c r="B22" s="23" t="str">
        <x:v>bottle_beer</x:v>
      </x:c>
      <x:c r="C22" s="23" t="str">
        <x:v>recipe_summary_ko</x:v>
      </x:c>
      <x:c r="D22" s="23" t="str">
        <x:v>recipe_summary_en</x:v>
      </x:c>
      <x:c r="E22" s="23" t="str">
        <x:f>Cocktails!T8</x:f>
        <x:v>병뚜껑을 개봉한 뒤 병맥주를 따른다.</x:v>
      </x:c>
      <x:c r="F22" s="23" t="str">
        <x:f>Cocktails!U8</x:f>
        <x:v>Open the bottle cap, then pour the beer.</x:v>
      </x:c>
      <x:c r="G22" s="23" t="str">
        <x:f>IF(AND(E22&lt;&gt;"",F22&lt;&gt;""),"OK","MISSING")</x:f>
        <x:v>OK</x:v>
      </x:c>
    </x:row>
    <x:row r="23" ht="15" hidden="0" customHeight="1">
      <x:c r="A23" s="23" t="str">
        <x:v>Cocktails</x:v>
      </x:c>
      <x:c r="B23" s="23" t="str">
        <x:v>champagne</x:v>
      </x:c>
      <x:c r="C23" s="23" t="str">
        <x:v>name_ko</x:v>
      </x:c>
      <x:c r="D23" s="23" t="str">
        <x:v>name_en</x:v>
      </x:c>
      <x:c r="E23" s="23" t="str">
        <x:f>Cocktails!F9</x:f>
        <x:v>샴페인</x:v>
      </x:c>
      <x:c r="F23" s="23" t="str">
        <x:f>Cocktails!G9</x:f>
        <x:v>Champagne</x:v>
      </x:c>
      <x:c r="G23" s="23" t="str">
        <x:f>IF(AND(E23&lt;&gt;"",F23&lt;&gt;""),"OK","MISSING")</x:f>
        <x:v>OK</x:v>
      </x:c>
    </x:row>
    <x:row r="24" ht="15" hidden="0" customHeight="1">
      <x:c r="A24" s="23" t="str">
        <x:v>Cocktails</x:v>
      </x:c>
      <x:c r="B24" s="23" t="str">
        <x:v>champagne</x:v>
      </x:c>
      <x:c r="C24" s="23" t="str">
        <x:v>flavor_ko</x:v>
      </x:c>
      <x:c r="D24" s="23" t="str">
        <x:v>flavor_en</x:v>
      </x:c>
      <x:c r="E24" s="23" t="str">
        <x:f>Cocktails!R9</x:f>
        <x:v>기포가 올라오는 동안은 누구나 주인공.</x:v>
      </x:c>
      <x:c r="F24" s="23" t="str">
        <x:f>Cocktails!S9</x:f>
        <x:v>While the bubbles rise, everyone's the main character.</x:v>
      </x:c>
      <x:c r="G24" s="23" t="str">
        <x:f>IF(AND(E24&lt;&gt;"",F24&lt;&gt;""),"OK","MISSING")</x:f>
        <x:v>OK</x:v>
      </x:c>
    </x:row>
    <x:row r="25" ht="21.600000381469727" hidden="0" customHeight="1">
      <x:c r="A25" s="23" t="str">
        <x:v>Cocktails</x:v>
      </x:c>
      <x:c r="B25" s="23" t="str">
        <x:v>champagne</x:v>
      </x:c>
      <x:c r="C25" s="23" t="str">
        <x:v>recipe_summary_ko</x:v>
      </x:c>
      <x:c r="D25" s="23" t="str">
        <x:v>recipe_summary_en</x:v>
      </x:c>
      <x:c r="E25" s="23" t="str">
        <x:f>Cocktails!T9</x:f>
        <x:v>샴페인을 따른다.</x:v>
      </x:c>
      <x:c r="F25" s="23" t="str">
        <x:f>Cocktails!U9</x:f>
        <x:v>Pour the champagne.</x:v>
      </x:c>
      <x:c r="G25" s="23" t="str">
        <x:f>IF(AND(E25&lt;&gt;"",F25&lt;&gt;""),"OK","MISSING")</x:f>
        <x:v>OK</x:v>
      </x:c>
    </x:row>
    <x:row r="26" ht="15" hidden="0" customHeight="1">
      <x:c r="A26" s="23" t="str">
        <x:v>Cocktails</x:v>
      </x:c>
      <x:c r="B26" s="23" t="str">
        <x:v>screwdriver</x:v>
      </x:c>
      <x:c r="C26" s="23" t="str">
        <x:v>name_ko</x:v>
      </x:c>
      <x:c r="D26" s="23" t="str">
        <x:v>name_en</x:v>
      </x:c>
      <x:c r="E26" s="23" t="str">
        <x:f>Cocktails!F10</x:f>
        <x:v>스크류드라이버</x:v>
      </x:c>
      <x:c r="F26" s="23" t="str">
        <x:f>Cocktails!G10</x:f>
        <x:v>Screwdriver</x:v>
      </x:c>
      <x:c r="G26" s="23" t="str">
        <x:f>IF(AND(E26&lt;&gt;"",F26&lt;&gt;""),"OK","MISSING")</x:f>
        <x:v>OK</x:v>
      </x:c>
    </x:row>
    <x:row r="27" ht="15" hidden="0" customHeight="1">
      <x:c r="A27" s="23" t="str">
        <x:v>Cocktails</x:v>
      </x:c>
      <x:c r="B27" s="23" t="str">
        <x:v>screwdriver</x:v>
      </x:c>
      <x:c r="C27" s="23" t="str">
        <x:v>flavor_ko</x:v>
      </x:c>
      <x:c r="D27" s="23" t="str">
        <x:v>flavor_en</x:v>
      </x:c>
      <x:c r="E27" s="23" t="str">
        <x:f>Cocktails!R10</x:f>
        <x:v>보드카와 오렌지주스. 이름은 공구, 맛은 과일.</x:v>
      </x:c>
      <x:c r="F27" s="23" t="str">
        <x:f>Cocktails!S10</x:f>
        <x:v>Vodka and orange juice. Named after a tool, tastes like fruit.</x:v>
      </x:c>
      <x:c r="G27" s="23" t="str">
        <x:f>IF(AND(E27&lt;&gt;"",F27&lt;&gt;""),"OK","MISSING")</x:f>
        <x:v>OK</x:v>
      </x:c>
    </x:row>
    <x:row r="28" ht="21.600000381469727" hidden="0" customHeight="1">
      <x:c r="A28" s="23" t="str">
        <x:v>Cocktails</x:v>
      </x:c>
      <x:c r="B28" s="23" t="str">
        <x:v>screwdriver</x:v>
      </x:c>
      <x:c r="C28" s="23" t="str">
        <x:v>recipe_summary_ko</x:v>
      </x:c>
      <x:c r="D28" s="23" t="str">
        <x:v>recipe_summary_en</x:v>
      </x:c>
      <x:c r="E28" s="23" t="str">
        <x:f>Cocktails!T10</x:f>
        <x:v>보드카와 오렌지주스를 차례로 따른다.</x:v>
      </x:c>
      <x:c r="F28" s="23" t="str">
        <x:f>Cocktails!U10</x:f>
        <x:v>Pour the vodka and orange juice in order.</x:v>
      </x:c>
      <x:c r="G28" s="23" t="str">
        <x:f>IF(AND(E28&lt;&gt;"",F28&lt;&gt;""),"OK","MISSING")</x:f>
        <x:v>OK</x:v>
      </x:c>
    </x:row>
    <x:row r="29" ht="21.600000381469727" hidden="0" customHeight="1">
      <x:c r="A29" s="23" t="str">
        <x:v>Cocktails</x:v>
      </x:c>
      <x:c r="B29" s="23" t="str">
        <x:v>moscow_mule</x:v>
      </x:c>
      <x:c r="C29" s="23" t="str">
        <x:v>name_ko</x:v>
      </x:c>
      <x:c r="D29" s="23" t="str">
        <x:v>name_en</x:v>
      </x:c>
      <x:c r="E29" s="23" t="str">
        <x:f>Cocktails!F11</x:f>
        <x:v>모스코뮬</x:v>
      </x:c>
      <x:c r="F29" s="23" t="str">
        <x:f>Cocktails!G11</x:f>
        <x:v>Moscow Mule</x:v>
      </x:c>
      <x:c r="G29" s="23" t="str">
        <x:f>IF(AND(E29&lt;&gt;"",F29&lt;&gt;""),"OK","MISSING")</x:f>
        <x:v>OK</x:v>
      </x:c>
    </x:row>
    <x:row r="30" ht="21.600000381469727" hidden="0" customHeight="1">
      <x:c r="A30" s="23" t="str">
        <x:v>Cocktails</x:v>
      </x:c>
      <x:c r="B30" s="23" t="str">
        <x:v>moscow_mule</x:v>
      </x:c>
      <x:c r="C30" s="23" t="str">
        <x:v>flavor_ko</x:v>
      </x:c>
      <x:c r="D30" s="23" t="str">
        <x:v>flavor_en</x:v>
      </x:c>
      <x:c r="E30" s="23" t="str">
        <x:f>Cocktails!R11</x:f>
        <x:v>생강의 알싸함이 노새의 뒷발차기 같다고 해서 뮬.</x:v>
      </x:c>
      <x:c r="F30" s="23" t="str">
        <x:f>Cocktails!S11</x:f>
        <x:v>The ginger kick they say feels like a mule's hind leg.</x:v>
      </x:c>
      <x:c r="G30" s="23" t="str">
        <x:f>IF(AND(E30&lt;&gt;"",F30&lt;&gt;""),"OK","MISSING")</x:f>
        <x:v>OK</x:v>
      </x:c>
    </x:row>
    <x:row r="31" ht="21.600000381469727" hidden="0" customHeight="1">
      <x:c r="A31" s="23" t="str">
        <x:v>Cocktails</x:v>
      </x:c>
      <x:c r="B31" s="23" t="str">
        <x:v>moscow_mule</x:v>
      </x:c>
      <x:c r="C31" s="23" t="str">
        <x:v>recipe_summary_ko</x:v>
      </x:c>
      <x:c r="D31" s="23" t="str">
        <x:v>recipe_summary_en</x:v>
      </x:c>
      <x:c r="E31" s="23" t="str">
        <x:f>Cocktails!T11</x:f>
        <x:v>보드카를 따르고 라임을 스퀴즈한 뒤 진저에일로 필업한다.</x:v>
      </x:c>
      <x:c r="F31" s="23" t="str">
        <x:f>Cocktails!U11</x:f>
        <x:v>Pour the vodka, squeeze the lime, then top with ginger ale.</x:v>
      </x:c>
      <x:c r="G31" s="23" t="str">
        <x:f>IF(AND(E31&lt;&gt;"",F31&lt;&gt;""),"OK","MISSING")</x:f>
        <x:v>OK</x:v>
      </x:c>
    </x:row>
    <x:row r="32" ht="21.600000381469727" hidden="0" customHeight="1">
      <x:c r="A32" s="23" t="str">
        <x:v>Cocktails</x:v>
      </x:c>
      <x:c r="B32" s="23" t="str">
        <x:v>tequila_sunrise</x:v>
      </x:c>
      <x:c r="C32" s="23" t="str">
        <x:v>name_ko</x:v>
      </x:c>
      <x:c r="D32" s="23" t="str">
        <x:v>name_en</x:v>
      </x:c>
      <x:c r="E32" s="23" t="str">
        <x:f>Cocktails!F12</x:f>
        <x:v>데킬라 선라이즈</x:v>
      </x:c>
      <x:c r="F32" s="23" t="str">
        <x:f>Cocktails!G12</x:f>
        <x:v>Tequila Sunrise</x:v>
      </x:c>
      <x:c r="G32" s="23" t="str">
        <x:f>IF(AND(E32&lt;&gt;"",F32&lt;&gt;""),"OK","MISSING")</x:f>
        <x:v>OK</x:v>
      </x:c>
    </x:row>
    <x:row r="33" ht="21.600000381469727" hidden="0" customHeight="1">
      <x:c r="A33" s="23" t="str">
        <x:v>Cocktails</x:v>
      </x:c>
      <x:c r="B33" s="23" t="str">
        <x:v>tequila_sunrise</x:v>
      </x:c>
      <x:c r="C33" s="23" t="str">
        <x:v>flavor_ko</x:v>
      </x:c>
      <x:c r="D33" s="23" t="str">
        <x:v>flavor_en</x:v>
      </x:c>
      <x:c r="E33" s="23" t="str">
        <x:f>Cocktails!R12</x:f>
        <x:v>잔 속에서 해가 뜬다. 새벽의 바에서 제일 잘 팔리는 아침.</x:v>
      </x:c>
      <x:c r="F33" s="23" t="str">
        <x:f>Cocktails!S12</x:f>
        <x:v>A sunrise inside a glass. The best-selling morning at a late-night bar.</x:v>
      </x:c>
      <x:c r="G33" s="23" t="str">
        <x:f>IF(AND(E33&lt;&gt;"",F33&lt;&gt;""),"OK","MISSING")</x:f>
        <x:v>OK</x:v>
      </x:c>
    </x:row>
    <x:row r="34" ht="21.600000381469727" hidden="0" customHeight="1">
      <x:c r="A34" s="23" t="str">
        <x:v>Cocktails</x:v>
      </x:c>
      <x:c r="B34" s="23" t="str">
        <x:v>tequila_sunrise</x:v>
      </x:c>
      <x:c r="C34" s="23" t="str">
        <x:v>recipe_summary_ko</x:v>
      </x:c>
      <x:c r="D34" s="23" t="str">
        <x:v>recipe_summary_en</x:v>
      </x:c>
      <x:c r="E34" s="23" t="str">
        <x:f>Cocktails!T12</x:f>
        <x:v>데킬라와 오렌지주스를 차례로 따른다.</x:v>
      </x:c>
      <x:c r="F34" s="23" t="str">
        <x:f>Cocktails!U12</x:f>
        <x:v>Pour the tequila and orange juice in order.</x:v>
      </x:c>
      <x:c r="G34" s="23" t="str">
        <x:f>IF(AND(E34&lt;&gt;"",F34&lt;&gt;""),"OK","MISSING")</x:f>
        <x:v>OK</x:v>
      </x:c>
    </x:row>
    <x:row r="35" ht="15" hidden="0" customHeight="1">
      <x:c r="A35" s="23" t="str">
        <x:v>Cocktails</x:v>
      </x:c>
      <x:c r="B35" s="23" t="str">
        <x:v>godfather</x:v>
      </x:c>
      <x:c r="C35" s="23" t="str">
        <x:v>name_ko</x:v>
      </x:c>
      <x:c r="D35" s="23" t="str">
        <x:v>name_en</x:v>
      </x:c>
      <x:c r="E35" s="23" t="str">
        <x:f>Cocktails!F13</x:f>
        <x:v>갓파더</x:v>
      </x:c>
      <x:c r="F35" s="23" t="str">
        <x:f>Cocktails!G13</x:f>
        <x:v>Godfather</x:v>
      </x:c>
      <x:c r="G35" s="23" t="str">
        <x:f>IF(AND(E35&lt;&gt;"",F35&lt;&gt;""),"OK","MISSING")</x:f>
        <x:v>OK</x:v>
      </x:c>
    </x:row>
    <x:row r="36" ht="15" hidden="0" customHeight="1">
      <x:c r="A36" s="23" t="str">
        <x:v>Cocktails</x:v>
      </x:c>
      <x:c r="B36" s="23" t="str">
        <x:v>godfather</x:v>
      </x:c>
      <x:c r="C36" s="23" t="str">
        <x:v>flavor_ko</x:v>
      </x:c>
      <x:c r="D36" s="23" t="str">
        <x:v>flavor_en</x:v>
      </x:c>
      <x:c r="E36" s="23" t="str">
        <x:f>Cocktails!R13</x:f>
        <x:v>위스키와 아마레토. 짧고 묵직한 두 재료의 대화.</x:v>
      </x:c>
      <x:c r="F36" s="23" t="str">
        <x:f>Cocktails!S13</x:f>
        <x:v>Whiskey and amaretto. A short, weighty conversation between two spirits.</x:v>
      </x:c>
      <x:c r="G36" s="23" t="str">
        <x:f>IF(AND(E36&lt;&gt;"",F36&lt;&gt;""),"OK","MISSING")</x:f>
        <x:v>OK</x:v>
      </x:c>
    </x:row>
    <x:row r="37" ht="21.600000381469727" hidden="0" customHeight="1">
      <x:c r="A37" s="23" t="str">
        <x:v>Cocktails</x:v>
      </x:c>
      <x:c r="B37" s="23" t="str">
        <x:v>godfather</x:v>
      </x:c>
      <x:c r="C37" s="23" t="str">
        <x:v>recipe_summary_ko</x:v>
      </x:c>
      <x:c r="D37" s="23" t="str">
        <x:v>recipe_summary_en</x:v>
      </x:c>
      <x:c r="E37" s="23" t="str">
        <x:f>Cocktails!T13</x:f>
        <x:v>상세 재료 순서와 목표 수량 확정 후 제조방법 설명문을 완성한다.</x:v>
      </x:c>
      <x:c r="F37" s="23" t="str">
        <x:f>Cocktails!U13</x:f>
        <x:v>Complete this preparation summary after the ingredient order and target quantities are finalized.</x:v>
      </x:c>
      <x:c r="G37" s="23" t="str">
        <x:f>IF(AND(E37&lt;&gt;"",F37&lt;&gt;""),"OK","MISSING")</x:f>
        <x:v>OK</x:v>
      </x:c>
    </x:row>
    <x:row r="38" ht="15" hidden="0" customHeight="1">
      <x:c r="A38" s="23" t="str">
        <x:v>Cocktails</x:v>
      </x:c>
      <x:c r="B38" s="23" t="str">
        <x:v>godmother</x:v>
      </x:c>
      <x:c r="C38" s="23" t="str">
        <x:v>name_ko</x:v>
      </x:c>
      <x:c r="D38" s="23" t="str">
        <x:v>name_en</x:v>
      </x:c>
      <x:c r="E38" s="23" t="str">
        <x:f>Cocktails!F14</x:f>
        <x:v>갓마더</x:v>
      </x:c>
      <x:c r="F38" s="23" t="str">
        <x:f>Cocktails!G14</x:f>
        <x:v>Godmother</x:v>
      </x:c>
      <x:c r="G38" s="23" t="str">
        <x:f>IF(AND(E38&lt;&gt;"",F38&lt;&gt;""),"OK","MISSING")</x:f>
        <x:v>OK</x:v>
      </x:c>
    </x:row>
    <x:row r="39" ht="15" hidden="0" customHeight="1">
      <x:c r="A39" s="23" t="str">
        <x:v>Cocktails</x:v>
      </x:c>
      <x:c r="B39" s="23" t="str">
        <x:v>godmother</x:v>
      </x:c>
      <x:c r="C39" s="23" t="str">
        <x:v>flavor_ko</x:v>
      </x:c>
      <x:c r="D39" s="23" t="str">
        <x:v>flavor_en</x:v>
      </x:c>
      <x:c r="E39" s="23" t="str">
        <x:f>Cocktails!R14</x:f>
        <x:v>보드카의 깨끗함에 아마레토의 단맛을 얹는다.</x:v>
      </x:c>
      <x:c r="F39" s="23" t="str">
        <x:f>Cocktails!S14</x:f>
        <x:v>Clean vodka softened by the sweetness of amaretto.</x:v>
      </x:c>
      <x:c r="G39" s="23" t="str">
        <x:f>IF(AND(E39&lt;&gt;"",F39&lt;&gt;""),"OK","MISSING")</x:f>
        <x:v>OK</x:v>
      </x:c>
    </x:row>
    <x:row r="40" ht="21.600000381469727" hidden="0" customHeight="1">
      <x:c r="A40" s="23" t="str">
        <x:v>Cocktails</x:v>
      </x:c>
      <x:c r="B40" s="23" t="str">
        <x:v>godmother</x:v>
      </x:c>
      <x:c r="C40" s="23" t="str">
        <x:v>recipe_summary_ko</x:v>
      </x:c>
      <x:c r="D40" s="23" t="str">
        <x:v>recipe_summary_en</x:v>
      </x:c>
      <x:c r="E40" s="23" t="str">
        <x:f>Cocktails!T14</x:f>
        <x:v>상세 재료 순서와 목표 수량 확정 후 제조방법 설명문을 완성한다.</x:v>
      </x:c>
      <x:c r="F40" s="23" t="str">
        <x:f>Cocktails!U14</x:f>
        <x:v>Complete this preparation summary after the ingredient order and target quantities are finalized.</x:v>
      </x:c>
      <x:c r="G40" s="23" t="str">
        <x:f>IF(AND(E40&lt;&gt;"",F40&lt;&gt;""),"OK","MISSING")</x:f>
        <x:v>OK</x:v>
      </x:c>
    </x:row>
    <x:row r="41" ht="21.600000381469727" hidden="0" customHeight="1">
      <x:c r="A41" s="23" t="str">
        <x:v>Cocktails</x:v>
      </x:c>
      <x:c r="B41" s="23" t="str">
        <x:v>french_connection</x:v>
      </x:c>
      <x:c r="C41" s="23" t="str">
        <x:v>name_ko</x:v>
      </x:c>
      <x:c r="D41" s="23" t="str">
        <x:v>name_en</x:v>
      </x:c>
      <x:c r="E41" s="23" t="str">
        <x:f>Cocktails!F15</x:f>
        <x:v>프렌치 커넥션</x:v>
      </x:c>
      <x:c r="F41" s="23" t="str">
        <x:f>Cocktails!G15</x:f>
        <x:v>French Connection</x:v>
      </x:c>
      <x:c r="G41" s="23" t="str">
        <x:f>IF(AND(E41&lt;&gt;"",F41&lt;&gt;""),"OK","MISSING")</x:f>
        <x:v>OK</x:v>
      </x:c>
    </x:row>
    <x:row r="42" ht="21.600000381469727" hidden="0" customHeight="1">
      <x:c r="A42" s="23" t="str">
        <x:v>Cocktails</x:v>
      </x:c>
      <x:c r="B42" s="23" t="str">
        <x:v>french_connection</x:v>
      </x:c>
      <x:c r="C42" s="23" t="str">
        <x:v>flavor_ko</x:v>
      </x:c>
      <x:c r="D42" s="23" t="str">
        <x:v>flavor_en</x:v>
      </x:c>
      <x:c r="E42" s="23" t="str">
        <x:f>Cocktails!R15</x:f>
        <x:v>브랜디와 아마레토가 만드는 깊고 느린 단맛.</x:v>
      </x:c>
      <x:c r="F42" s="23" t="str">
        <x:f>Cocktails!S15</x:f>
        <x:v>Brandy and amaretto create a deep, lingering sweetness.</x:v>
      </x:c>
      <x:c r="G42" s="23" t="str">
        <x:f>IF(AND(E42&lt;&gt;"",F42&lt;&gt;""),"OK","MISSING")</x:f>
        <x:v>OK</x:v>
      </x:c>
    </x:row>
    <x:row r="43" ht="21.600000381469727" hidden="0" customHeight="1">
      <x:c r="A43" s="23" t="str">
        <x:v>Cocktails</x:v>
      </x:c>
      <x:c r="B43" s="23" t="str">
        <x:v>french_connection</x:v>
      </x:c>
      <x:c r="C43" s="23" t="str">
        <x:v>recipe_summary_ko</x:v>
      </x:c>
      <x:c r="D43" s="23" t="str">
        <x:v>recipe_summary_en</x:v>
      </x:c>
      <x:c r="E43" s="23" t="str">
        <x:f>Cocktails!T15</x:f>
        <x:v>상세 재료 순서와 목표 수량 확정 후 제조방법 설명문을 완성한다.</x:v>
      </x:c>
      <x:c r="F43" s="23" t="str">
        <x:f>Cocktails!U15</x:f>
        <x:v>Complete this preparation summary after the ingredient order and target quantities are finalized.</x:v>
      </x:c>
      <x:c r="G43" s="23" t="str">
        <x:f>IF(AND(E43&lt;&gt;"",F43&lt;&gt;""),"OK","MISSING")</x:f>
        <x:v>OK</x:v>
      </x:c>
    </x:row>
    <x:row r="44" ht="21.600000381469727" hidden="0" customHeight="1">
      <x:c r="A44" s="23" t="str">
        <x:v>Cocktails</x:v>
      </x:c>
      <x:c r="B44" s="23" t="str">
        <x:v>whiskey_sour</x:v>
      </x:c>
      <x:c r="C44" s="23" t="str">
        <x:v>name_ko</x:v>
      </x:c>
      <x:c r="D44" s="23" t="str">
        <x:v>name_en</x:v>
      </x:c>
      <x:c r="E44" s="23" t="str">
        <x:f>Cocktails!F16</x:f>
        <x:v>위스키 사워</x:v>
      </x:c>
      <x:c r="F44" s="23" t="str">
        <x:f>Cocktails!G16</x:f>
        <x:v>Whiskey Sour</x:v>
      </x:c>
      <x:c r="G44" s="23" t="str">
        <x:f>IF(AND(E44&lt;&gt;"",F44&lt;&gt;""),"OK","MISSING")</x:f>
        <x:v>OK</x:v>
      </x:c>
    </x:row>
    <x:row r="45" ht="21.600000381469727" hidden="0" customHeight="1">
      <x:c r="A45" s="23" t="str">
        <x:v>Cocktails</x:v>
      </x:c>
      <x:c r="B45" s="23" t="str">
        <x:v>whiskey_sour</x:v>
      </x:c>
      <x:c r="C45" s="23" t="str">
        <x:v>flavor_ko</x:v>
      </x:c>
      <x:c r="D45" s="23" t="str">
        <x:v>flavor_en</x:v>
      </x:c>
      <x:c r="E45" s="23" t="str">
        <x:f>Cocktails!R16</x:f>
        <x:v>위스키의 무게에 레몬의 균형.</x:v>
      </x:c>
      <x:c r="F45" s="23" t="str">
        <x:f>Cocktails!S16</x:f>
        <x:v>The weight of whiskey, balanced by lemon.</x:v>
      </x:c>
      <x:c r="G45" s="23" t="str">
        <x:f>IF(AND(E45&lt;&gt;"",F45&lt;&gt;""),"OK","MISSING")</x:f>
        <x:v>OK</x:v>
      </x:c>
    </x:row>
    <x:row r="46" ht="21.600000381469727" hidden="0" customHeight="1">
      <x:c r="A46" s="23" t="str">
        <x:v>Cocktails</x:v>
      </x:c>
      <x:c r="B46" s="23" t="str">
        <x:v>whiskey_sour</x:v>
      </x:c>
      <x:c r="C46" s="23" t="str">
        <x:v>recipe_summary_ko</x:v>
      </x:c>
      <x:c r="D46" s="23" t="str">
        <x:v>recipe_summary_en</x:v>
      </x:c>
      <x:c r="E46" s="23" t="str">
        <x:f>Cocktails!T16</x:f>
        <x:v>위스키를 따르고 레몬과 설탕을 넣어 셰이크한 뒤 사워믹스로 필업한다.</x:v>
      </x:c>
      <x:c r="F46" s="23" t="str">
        <x:f>Cocktails!U16</x:f>
        <x:v>Pour the whiskey, add lemon and sugar, shake, then top with sour mix.</x:v>
      </x:c>
      <x:c r="G46" s="23" t="str">
        <x:f>IF(AND(E46&lt;&gt;"",F46&lt;&gt;""),"OK","MISSING")</x:f>
        <x:v>OK</x:v>
      </x:c>
    </x:row>
    <x:row r="47" ht="15" hidden="0" customHeight="1">
      <x:c r="A47" s="23" t="str">
        <x:v>Cocktails</x:v>
      </x:c>
      <x:c r="B47" s="23" t="str">
        <x:v>brandy_sour</x:v>
      </x:c>
      <x:c r="C47" s="23" t="str">
        <x:v>name_ko</x:v>
      </x:c>
      <x:c r="D47" s="23" t="str">
        <x:v>name_en</x:v>
      </x:c>
      <x:c r="E47" s="23" t="str">
        <x:f>Cocktails!F17</x:f>
        <x:v>브랜디 사워</x:v>
      </x:c>
      <x:c r="F47" s="23" t="str">
        <x:f>Cocktails!G17</x:f>
        <x:v>Brandy Sour</x:v>
      </x:c>
      <x:c r="G47" s="23" t="str">
        <x:f>IF(AND(E47&lt;&gt;"",F47&lt;&gt;""),"OK","MISSING")</x:f>
        <x:v>OK</x:v>
      </x:c>
    </x:row>
    <x:row r="48" ht="15" hidden="0" customHeight="1">
      <x:c r="A48" s="23" t="str">
        <x:v>Cocktails</x:v>
      </x:c>
      <x:c r="B48" s="23" t="str">
        <x:v>brandy_sour</x:v>
      </x:c>
      <x:c r="C48" s="23" t="str">
        <x:v>flavor_ko</x:v>
      </x:c>
      <x:c r="D48" s="23" t="str">
        <x:v>flavor_en</x:v>
      </x:c>
      <x:c r="E48" s="23" t="str">
        <x:f>Cocktails!R17</x:f>
        <x:v>브랜디의 온기에 레몬과 설탕으로 균형을 잡는다.</x:v>
      </x:c>
      <x:c r="F48" s="23" t="str">
        <x:f>Cocktails!S17</x:f>
        <x:v>Warm brandy balanced with lemon and sugar.</x:v>
      </x:c>
      <x:c r="G48" s="23" t="str">
        <x:f>IF(AND(E48&lt;&gt;"",F48&lt;&gt;""),"OK","MISSING")</x:f>
        <x:v>OK</x:v>
      </x:c>
    </x:row>
    <x:row r="49" ht="21.600000381469727" hidden="0" customHeight="1">
      <x:c r="A49" s="23" t="str">
        <x:v>Cocktails</x:v>
      </x:c>
      <x:c r="B49" s="23" t="str">
        <x:v>brandy_sour</x:v>
      </x:c>
      <x:c r="C49" s="23" t="str">
        <x:v>recipe_summary_ko</x:v>
      </x:c>
      <x:c r="D49" s="23" t="str">
        <x:v>recipe_summary_en</x:v>
      </x:c>
      <x:c r="E49" s="23" t="str">
        <x:f>Cocktails!T17</x:f>
        <x:v>상세 재료 순서와 목표 수량 확정 후 제조방법 설명문을 완성한다.</x:v>
      </x:c>
      <x:c r="F49" s="23" t="str">
        <x:f>Cocktails!U17</x:f>
        <x:v>Complete this preparation summary after the ingredient order and target quantities are finalized.</x:v>
      </x:c>
      <x:c r="G49" s="23" t="str">
        <x:f>IF(AND(E49&lt;&gt;"",F49&lt;&gt;""),"OK","MISSING")</x:f>
        <x:v>OK</x:v>
      </x:c>
    </x:row>
    <x:row r="50" ht="15" hidden="0" customHeight="1">
      <x:c r="A50" s="23" t="str">
        <x:v>Cocktails</x:v>
      </x:c>
      <x:c r="B50" s="23" t="str">
        <x:v>margarita</x:v>
      </x:c>
      <x:c r="C50" s="23" t="str">
        <x:v>name_ko</x:v>
      </x:c>
      <x:c r="D50" s="23" t="str">
        <x:v>name_en</x:v>
      </x:c>
      <x:c r="E50" s="23" t="str">
        <x:f>Cocktails!F18</x:f>
        <x:v>마가리타</x:v>
      </x:c>
      <x:c r="F50" s="23" t="str">
        <x:f>Cocktails!G18</x:f>
        <x:v>Margarita</x:v>
      </x:c>
      <x:c r="G50" s="23" t="str">
        <x:f>IF(AND(E50&lt;&gt;"",F50&lt;&gt;""),"OK","MISSING")</x:f>
        <x:v>OK</x:v>
      </x:c>
    </x:row>
    <x:row r="51" ht="15" hidden="0" customHeight="1">
      <x:c r="A51" s="23" t="str">
        <x:v>Cocktails</x:v>
      </x:c>
      <x:c r="B51" s="23" t="str">
        <x:v>margarita</x:v>
      </x:c>
      <x:c r="C51" s="23" t="str">
        <x:v>flavor_ko</x:v>
      </x:c>
      <x:c r="D51" s="23" t="str">
        <x:v>flavor_en</x:v>
      </x:c>
      <x:c r="E51" s="23" t="str">
        <x:f>Cocktails!R18</x:f>
        <x:v>데킬라의 태양과 레몬의 번개.</x:v>
      </x:c>
      <x:c r="F51" s="23" t="str">
        <x:f>Cocktails!S18</x:f>
        <x:v>Tequila's sun and lemon's lightning.</x:v>
      </x:c>
      <x:c r="G51" s="23" t="str">
        <x:f>IF(AND(E51&lt;&gt;"",F51&lt;&gt;""),"OK","MISSING")</x:f>
        <x:v>OK</x:v>
      </x:c>
    </x:row>
    <x:row r="52" ht="21.600000381469727" hidden="0" customHeight="1">
      <x:c r="A52" s="23" t="str">
        <x:v>Cocktails</x:v>
      </x:c>
      <x:c r="B52" s="23" t="str">
        <x:v>margarita</x:v>
      </x:c>
      <x:c r="C52" s="23" t="str">
        <x:v>recipe_summary_ko</x:v>
      </x:c>
      <x:c r="D52" s="23" t="str">
        <x:v>recipe_summary_en</x:v>
      </x:c>
      <x:c r="E52" s="23" t="str">
        <x:f>Cocktails!T18</x:f>
        <x:v>데킬라와 트리플섹을 따르고 레몬을 스퀴즈한 뒤 셰이크한다.</x:v>
      </x:c>
      <x:c r="F52" s="23" t="str">
        <x:f>Cocktails!U18</x:f>
        <x:v>Pour the tequila and triple sec, squeeze the lemon, then shake.</x:v>
      </x:c>
      <x:c r="G52" s="23" t="str">
        <x:f>IF(AND(E52&lt;&gt;"",F52&lt;&gt;""),"OK","MISSING")</x:f>
        <x:v>OK</x:v>
      </x:c>
    </x:row>
    <x:row r="53" ht="15" hidden="0" customHeight="1">
      <x:c r="A53" s="23" t="str">
        <x:v>Cocktails</x:v>
      </x:c>
      <x:c r="B53" s="23" t="str">
        <x:v>old_pal</x:v>
      </x:c>
      <x:c r="C53" s="23" t="str">
        <x:v>name_ko</x:v>
      </x:c>
      <x:c r="D53" s="23" t="str">
        <x:v>name_en</x:v>
      </x:c>
      <x:c r="E53" s="23" t="str">
        <x:f>Cocktails!F19</x:f>
        <x:v>올드 팔</x:v>
      </x:c>
      <x:c r="F53" s="23" t="str">
        <x:f>Cocktails!G19</x:f>
        <x:v>Old Pal</x:v>
      </x:c>
      <x:c r="G53" s="23" t="str">
        <x:f>IF(AND(E53&lt;&gt;"",F53&lt;&gt;""),"OK","MISSING")</x:f>
        <x:v>OK</x:v>
      </x:c>
    </x:row>
    <x:row r="54" ht="15" hidden="0" customHeight="1">
      <x:c r="A54" s="23" t="str">
        <x:v>Cocktails</x:v>
      </x:c>
      <x:c r="B54" s="23" t="str">
        <x:v>old_pal</x:v>
      </x:c>
      <x:c r="C54" s="23" t="str">
        <x:v>flavor_ko</x:v>
      </x:c>
      <x:c r="D54" s="23" t="str">
        <x:v>flavor_en</x:v>
      </x:c>
      <x:c r="E54" s="23" t="str">
        <x:f>Cocktails!R19</x:f>
        <x:v>위스키와 버무스, 캄파리의 쌉쌀한 악수.</x:v>
      </x:c>
      <x:c r="F54" s="23" t="str">
        <x:f>Cocktails!S19</x:f>
        <x:v>A bitter handshake of whiskey, vermouth, and Campari.</x:v>
      </x:c>
      <x:c r="G54" s="23" t="str">
        <x:f>IF(AND(E54&lt;&gt;"",F54&lt;&gt;""),"OK","MISSING")</x:f>
        <x:v>OK</x:v>
      </x:c>
    </x:row>
    <x:row r="55" ht="21.600000381469727" hidden="0" customHeight="1">
      <x:c r="A55" s="23" t="str">
        <x:v>Cocktails</x:v>
      </x:c>
      <x:c r="B55" s="23" t="str">
        <x:v>old_pal</x:v>
      </x:c>
      <x:c r="C55" s="23" t="str">
        <x:v>recipe_summary_ko</x:v>
      </x:c>
      <x:c r="D55" s="23" t="str">
        <x:v>recipe_summary_en</x:v>
      </x:c>
      <x:c r="E55" s="23" t="str">
        <x:f>Cocktails!T19</x:f>
        <x:v>상세 재료 순서와 목표 수량 확정 후 제조방법 설명문을 완성한다.</x:v>
      </x:c>
      <x:c r="F55" s="23" t="str">
        <x:f>Cocktails!U19</x:f>
        <x:v>Complete this preparation summary after the ingredient order and target quantities are finalized.</x:v>
      </x:c>
      <x:c r="G55" s="23" t="str">
        <x:f>IF(AND(E55&lt;&gt;"",F55&lt;&gt;""),"OK","MISSING")</x:f>
        <x:v>OK</x:v>
      </x:c>
    </x:row>
    <x:row r="56" ht="15" hidden="0" customHeight="1">
      <x:c r="A56" s="23" t="str">
        <x:v>Cocktails</x:v>
      </x:c>
      <x:c r="B56" s="23" t="str">
        <x:v>bacardi</x:v>
      </x:c>
      <x:c r="C56" s="23" t="str">
        <x:v>name_ko</x:v>
      </x:c>
      <x:c r="D56" s="23" t="str">
        <x:v>name_en</x:v>
      </x:c>
      <x:c r="E56" s="23" t="str">
        <x:f>Cocktails!F20</x:f>
        <x:v>바카디</x:v>
      </x:c>
      <x:c r="F56" s="23" t="str">
        <x:f>Cocktails!G20</x:f>
        <x:v>Bacardi</x:v>
      </x:c>
      <x:c r="G56" s="23" t="str">
        <x:f>IF(AND(E56&lt;&gt;"",F56&lt;&gt;""),"OK","MISSING")</x:f>
        <x:v>OK</x:v>
      </x:c>
    </x:row>
    <x:row r="57" ht="15" hidden="0" customHeight="1">
      <x:c r="A57" s="23" t="str">
        <x:v>Cocktails</x:v>
      </x:c>
      <x:c r="B57" s="23" t="str">
        <x:v>bacardi</x:v>
      </x:c>
      <x:c r="C57" s="23" t="str">
        <x:v>flavor_ko</x:v>
      </x:c>
      <x:c r="D57" s="23" t="str">
        <x:v>flavor_en</x:v>
      </x:c>
      <x:c r="E57" s="23" t="str">
        <x:f>Cocktails!R20</x:f>
        <x:v>럼과 그레나딘과 라임. 이름을 건 칵테일.</x:v>
      </x:c>
      <x:c r="F57" s="23" t="str">
        <x:f>Cocktails!S20</x:f>
        <x:v>Rum, grenadine, lime. A cocktail that bears the name.</x:v>
      </x:c>
      <x:c r="G57" s="23" t="str">
        <x:f>IF(AND(E57&lt;&gt;"",F57&lt;&gt;""),"OK","MISSING")</x:f>
        <x:v>OK</x:v>
      </x:c>
    </x:row>
    <x:row r="58" ht="21.600000381469727" hidden="0" customHeight="1">
      <x:c r="A58" s="23" t="str">
        <x:v>Cocktails</x:v>
      </x:c>
      <x:c r="B58" s="23" t="str">
        <x:v>bacardi</x:v>
      </x:c>
      <x:c r="C58" s="23" t="str">
        <x:v>recipe_summary_ko</x:v>
      </x:c>
      <x:c r="D58" s="23" t="str">
        <x:v>recipe_summary_en</x:v>
      </x:c>
      <x:c r="E58" s="23" t="str">
        <x:f>Cocktails!T20</x:f>
        <x:v>럼과 그레나딘을 따르고 라임을 스퀴즈한 뒤 셰이크한다.</x:v>
      </x:c>
      <x:c r="F58" s="23" t="str">
        <x:f>Cocktails!U20</x:f>
        <x:v>Pour the rum and grenadine, squeeze the lime, then shake.</x:v>
      </x:c>
      <x:c r="G58" s="23" t="str">
        <x:f>IF(AND(E58&lt;&gt;"",F58&lt;&gt;""),"OK","MISSING")</x:f>
        <x:v>OK</x:v>
      </x:c>
    </x:row>
    <x:row r="59" ht="15" hidden="0" customHeight="1">
      <x:c r="A59" s="23" t="str">
        <x:v>Cocktails</x:v>
      </x:c>
      <x:c r="B59" s="23" t="str">
        <x:v>white_lady</x:v>
      </x:c>
      <x:c r="C59" s="23" t="str">
        <x:v>name_ko</x:v>
      </x:c>
      <x:c r="D59" s="23" t="str">
        <x:v>name_en</x:v>
      </x:c>
      <x:c r="E59" s="23" t="str">
        <x:f>Cocktails!F21</x:f>
        <x:v>화이트레이디</x:v>
      </x:c>
      <x:c r="F59" s="23" t="str">
        <x:f>Cocktails!G21</x:f>
        <x:v>White Lady</x:v>
      </x:c>
      <x:c r="G59" s="23" t="str">
        <x:f>IF(AND(E59&lt;&gt;"",F59&lt;&gt;""),"OK","MISSING")</x:f>
        <x:v>OK</x:v>
      </x:c>
    </x:row>
    <x:row r="60" ht="15" hidden="0" customHeight="1">
      <x:c r="A60" s="23" t="str">
        <x:v>Cocktails</x:v>
      </x:c>
      <x:c r="B60" s="23" t="str">
        <x:v>white_lady</x:v>
      </x:c>
      <x:c r="C60" s="23" t="str">
        <x:v>flavor_ko</x:v>
      </x:c>
      <x:c r="D60" s="23" t="str">
        <x:v>flavor_en</x:v>
      </x:c>
      <x:c r="E60" s="23" t="str">
        <x:f>Cocktails!R21</x:f>
        <x:v>새하얀 드레스처럼 우아하고, 도수는 우아하지 않다.</x:v>
      </x:c>
      <x:c r="F60" s="23" t="str">
        <x:f>Cocktails!S21</x:f>
        <x:v>Elegant as a white dress. The proof is not elegant.</x:v>
      </x:c>
      <x:c r="G60" s="23" t="str">
        <x:f>IF(AND(E60&lt;&gt;"",F60&lt;&gt;""),"OK","MISSING")</x:f>
        <x:v>OK</x:v>
      </x:c>
    </x:row>
    <x:row r="61" ht="21.600000381469727" hidden="0" customHeight="1">
      <x:c r="A61" s="23" t="str">
        <x:v>Cocktails</x:v>
      </x:c>
      <x:c r="B61" s="23" t="str">
        <x:v>white_lady</x:v>
      </x:c>
      <x:c r="C61" s="23" t="str">
        <x:v>recipe_summary_ko</x:v>
      </x:c>
      <x:c r="D61" s="23" t="str">
        <x:v>recipe_summary_en</x:v>
      </x:c>
      <x:c r="E61" s="23" t="str">
        <x:f>Cocktails!T21</x:f>
        <x:v>진과 트리플섹을 따르고 레몬을 스퀴즈한 뒤 셰이크한다.</x:v>
      </x:c>
      <x:c r="F61" s="23" t="str">
        <x:f>Cocktails!U21</x:f>
        <x:v>Pour the gin and triple sec, squeeze the lemon, then shake.</x:v>
      </x:c>
      <x:c r="G61" s="23" t="str">
        <x:f>IF(AND(E61&lt;&gt;"",F61&lt;&gt;""),"OK","MISSING")</x:f>
        <x:v>OK</x:v>
      </x:c>
    </x:row>
    <x:row r="62" ht="21.600000381469727" hidden="0" customHeight="1">
      <x:c r="A62" s="23" t="str">
        <x:v>Cocktails</x:v>
      </x:c>
      <x:c r="B62" s="23" t="str">
        <x:v>espresso_martini</x:v>
      </x:c>
      <x:c r="C62" s="23" t="str">
        <x:v>name_ko</x:v>
      </x:c>
      <x:c r="D62" s="23" t="str">
        <x:v>name_en</x:v>
      </x:c>
      <x:c r="E62" s="23" t="str">
        <x:f>Cocktails!F22</x:f>
        <x:v>에스프레소 마티니</x:v>
      </x:c>
      <x:c r="F62" s="23" t="str">
        <x:f>Cocktails!G22</x:f>
        <x:v>Espresso Martini</x:v>
      </x:c>
      <x:c r="G62" s="23" t="str">
        <x:f>IF(AND(E62&lt;&gt;"",F62&lt;&gt;""),"OK","MISSING")</x:f>
        <x:v>OK</x:v>
      </x:c>
    </x:row>
    <x:row r="63" ht="21.600000381469727" hidden="0" customHeight="1">
      <x:c r="A63" s="23" t="str">
        <x:v>Cocktails</x:v>
      </x:c>
      <x:c r="B63" s="23" t="str">
        <x:v>espresso_martini</x:v>
      </x:c>
      <x:c r="C63" s="23" t="str">
        <x:v>flavor_ko</x:v>
      </x:c>
      <x:c r="D63" s="23" t="str">
        <x:v>flavor_en</x:v>
      </x:c>
      <x:c r="E63" s="23" t="str">
        <x:f>Cocktails!R22</x:f>
        <x:v>보드카와 커피가 새벽을 한 잔 더 연장한다.</x:v>
      </x:c>
      <x:c r="F63" s="23" t="str">
        <x:f>Cocktails!S22</x:f>
        <x:v>Vodka and coffee extend the night by one more glass.</x:v>
      </x:c>
      <x:c r="G63" s="23" t="str">
        <x:f>IF(AND(E63&lt;&gt;"",F63&lt;&gt;""),"OK","MISSING")</x:f>
        <x:v>OK</x:v>
      </x:c>
    </x:row>
    <x:row r="64" ht="21.600000381469727" hidden="0" customHeight="1">
      <x:c r="A64" s="23" t="str">
        <x:v>Cocktails</x:v>
      </x:c>
      <x:c r="B64" s="23" t="str">
        <x:v>espresso_martini</x:v>
      </x:c>
      <x:c r="C64" s="23" t="str">
        <x:v>recipe_summary_ko</x:v>
      </x:c>
      <x:c r="D64" s="23" t="str">
        <x:v>recipe_summary_en</x:v>
      </x:c>
      <x:c r="E64" s="23" t="str">
        <x:f>Cocktails!T22</x:f>
        <x:v>상세 재료 순서와 목표 수량 확정 후 제조방법 설명문을 완성한다.</x:v>
      </x:c>
      <x:c r="F64" s="23" t="str">
        <x:f>Cocktails!U22</x:f>
        <x:v>Complete this preparation summary after the ingredient order and target quantities are finalized.</x:v>
      </x:c>
      <x:c r="G64" s="23" t="str">
        <x:f>IF(AND(E64&lt;&gt;"",F64&lt;&gt;""),"OK","MISSING")</x:f>
        <x:v>OK</x:v>
      </x:c>
    </x:row>
    <x:row r="65" ht="15" hidden="0" customHeight="1">
      <x:c r="A65" s="23" t="str">
        <x:v>Cocktails</x:v>
      </x:c>
      <x:c r="B65" s="23" t="str">
        <x:v>june_bug</x:v>
      </x:c>
      <x:c r="C65" s="23" t="str">
        <x:v>name_ko</x:v>
      </x:c>
      <x:c r="D65" s="23" t="str">
        <x:v>name_en</x:v>
      </x:c>
      <x:c r="E65" s="23" t="str">
        <x:f>Cocktails!F23</x:f>
        <x:v>준벅</x:v>
      </x:c>
      <x:c r="F65" s="23" t="str">
        <x:f>Cocktails!G23</x:f>
        <x:v>June Bug</x:v>
      </x:c>
      <x:c r="G65" s="23" t="str">
        <x:f>IF(AND(E65&lt;&gt;"",F65&lt;&gt;""),"OK","MISSING")</x:f>
        <x:v>OK</x:v>
      </x:c>
    </x:row>
    <x:row r="66" ht="15" hidden="0" customHeight="1">
      <x:c r="A66" s="23" t="str">
        <x:v>Cocktails</x:v>
      </x:c>
      <x:c r="B66" s="23" t="str">
        <x:v>june_bug</x:v>
      </x:c>
      <x:c r="C66" s="23" t="str">
        <x:v>flavor_ko</x:v>
      </x:c>
      <x:c r="D66" s="23" t="str">
        <x:v>flavor_en</x:v>
      </x:c>
      <x:c r="E66" s="23" t="str">
        <x:f>Cocktails!R23</x:f>
        <x:v>멜론과 코코넛, 바나나와 파인애플이 겹치는 초록빛 트로피컬 칵테일.</x:v>
      </x:c>
      <x:c r="F66" s="23" t="str">
        <x:f>Cocktails!S23</x:f>
        <x:v>A green tropical mix of melon, coconut, banana, and pineapple.</x:v>
      </x:c>
      <x:c r="G66" s="23" t="str">
        <x:f>IF(AND(E66&lt;&gt;"",F66&lt;&gt;""),"OK","MISSING")</x:f>
        <x:v>OK</x:v>
      </x:c>
    </x:row>
    <x:row r="67" ht="21.600000381469727" hidden="0" customHeight="1">
      <x:c r="A67" s="23" t="str">
        <x:v>Cocktails</x:v>
      </x:c>
      <x:c r="B67" s="23" t="str">
        <x:v>june_bug</x:v>
      </x:c>
      <x:c r="C67" s="23" t="str">
        <x:v>recipe_summary_ko</x:v>
      </x:c>
      <x:c r="D67" s="23" t="str">
        <x:v>recipe_summary_en</x:v>
      </x:c>
      <x:c r="E67" s="23" t="str">
        <x:f>Cocktails!T23</x:f>
        <x:v>상세 재료 순서와 목표 수량 확정 후 제조방법 설명문을 완성한다.</x:v>
      </x:c>
      <x:c r="F67" s="23" t="str">
        <x:f>Cocktails!U23</x:f>
        <x:v>Complete this preparation summary after the ingredient order and target quantities are finalized.</x:v>
      </x:c>
      <x:c r="G67" s="23" t="str">
        <x:f>IF(AND(E67&lt;&gt;"",F67&lt;&gt;""),"OK","MISSING")</x:f>
        <x:v>OK</x:v>
      </x:c>
    </x:row>
    <x:row r="68" ht="15" hidden="0" customHeight="1">
      <x:c r="A68" s="23" t="str">
        <x:v>Cocktails</x:v>
      </x:c>
      <x:c r="B68" s="23" t="str">
        <x:v>pink_lady</x:v>
      </x:c>
      <x:c r="C68" s="23" t="str">
        <x:v>name_ko</x:v>
      </x:c>
      <x:c r="D68" s="23" t="str">
        <x:v>name_en</x:v>
      </x:c>
      <x:c r="E68" s="23" t="str">
        <x:f>Cocktails!F24</x:f>
        <x:v>핑크레이디</x:v>
      </x:c>
      <x:c r="F68" s="23" t="str">
        <x:f>Cocktails!G24</x:f>
        <x:v>Pink Lady</x:v>
      </x:c>
      <x:c r="G68" s="23" t="str">
        <x:f>IF(AND(E68&lt;&gt;"",F68&lt;&gt;""),"OK","MISSING")</x:f>
        <x:v>OK</x:v>
      </x:c>
    </x:row>
    <x:row r="69" ht="15" hidden="0" customHeight="1">
      <x:c r="A69" s="23" t="str">
        <x:v>Cocktails</x:v>
      </x:c>
      <x:c r="B69" s="23" t="str">
        <x:v>pink_lady</x:v>
      </x:c>
      <x:c r="C69" s="23" t="str">
        <x:v>flavor_ko</x:v>
      </x:c>
      <x:c r="D69" s="23" t="str">
        <x:v>flavor_en</x:v>
      </x:c>
      <x:c r="E69" s="23" t="str">
        <x:f>Cocktails!R24</x:f>
        <x:v>진과 그레나딘, 크림이 만드는 부드러운 분홍빛.</x:v>
      </x:c>
      <x:c r="F69" s="23" t="str">
        <x:f>Cocktails!S24</x:f>
        <x:v>Gin, grenadine, and cream in a soft shade of pink.</x:v>
      </x:c>
      <x:c r="G69" s="23" t="str">
        <x:f>IF(AND(E69&lt;&gt;"",F69&lt;&gt;""),"OK","MISSING")</x:f>
        <x:v>OK</x:v>
      </x:c>
    </x:row>
    <x:row r="70" ht="21.600000381469727" hidden="0" customHeight="1">
      <x:c r="A70" s="23" t="str">
        <x:v>Cocktails</x:v>
      </x:c>
      <x:c r="B70" s="23" t="str">
        <x:v>pink_lady</x:v>
      </x:c>
      <x:c r="C70" s="23" t="str">
        <x:v>recipe_summary_ko</x:v>
      </x:c>
      <x:c r="D70" s="23" t="str">
        <x:v>recipe_summary_en</x:v>
      </x:c>
      <x:c r="E70" s="23" t="str">
        <x:f>Cocktails!T24</x:f>
        <x:v>상세 재료 순서와 목표 수량 확정 후 제조방법 설명문을 완성한다.</x:v>
      </x:c>
      <x:c r="F70" s="23" t="str">
        <x:f>Cocktails!U24</x:f>
        <x:v>Complete this preparation summary after the ingredient order and target quantities are finalized.</x:v>
      </x:c>
      <x:c r="G70" s="23" t="str">
        <x:f>IF(AND(E70&lt;&gt;"",F70&lt;&gt;""),"OK","MISSING")</x:f>
        <x:v>OK</x:v>
      </x:c>
    </x:row>
    <x:row r="71" ht="15" hidden="0" customHeight="1">
      <x:c r="A71" s="23" t="str">
        <x:v>Cocktails</x:v>
      </x:c>
      <x:c r="B71" s="23" t="str">
        <x:v>blue_hawaii</x:v>
      </x:c>
      <x:c r="C71" s="23" t="str">
        <x:v>name_ko</x:v>
      </x:c>
      <x:c r="D71" s="23" t="str">
        <x:v>name_en</x:v>
      </x:c>
      <x:c r="E71" s="23" t="str">
        <x:f>Cocktails!F25</x:f>
        <x:v>블루하와이</x:v>
      </x:c>
      <x:c r="F71" s="23" t="str">
        <x:f>Cocktails!G25</x:f>
        <x:v>Blue Hawaii</x:v>
      </x:c>
      <x:c r="G71" s="23" t="str">
        <x:f>IF(AND(E71&lt;&gt;"",F71&lt;&gt;""),"OK","MISSING")</x:f>
        <x:v>OK</x:v>
      </x:c>
    </x:row>
    <x:row r="72" ht="15" hidden="0" customHeight="1">
      <x:c r="A72" s="23" t="str">
        <x:v>Cocktails</x:v>
      </x:c>
      <x:c r="B72" s="23" t="str">
        <x:v>blue_hawaii</x:v>
      </x:c>
      <x:c r="C72" s="23" t="str">
        <x:v>flavor_ko</x:v>
      </x:c>
      <x:c r="D72" s="23" t="str">
        <x:v>flavor_en</x:v>
      </x:c>
      <x:c r="E72" s="23" t="str">
        <x:f>Cocktails!R25</x:f>
        <x:v>럼과 블루큐라소 위로 파인애플과 코코넛이 펼쳐진다.</x:v>
      </x:c>
      <x:c r="F72" s="23" t="str">
        <x:f>Cocktails!S25</x:f>
        <x:v>Rum and blue curaçao carried by pineapple and coconut.</x:v>
      </x:c>
      <x:c r="G72" s="23" t="str">
        <x:f>IF(AND(E72&lt;&gt;"",F72&lt;&gt;""),"OK","MISSING")</x:f>
        <x:v>OK</x:v>
      </x:c>
    </x:row>
    <x:row r="73" ht="21.600000381469727" hidden="0" customHeight="1">
      <x:c r="A73" s="23" t="str">
        <x:v>Cocktails</x:v>
      </x:c>
      <x:c r="B73" s="23" t="str">
        <x:v>blue_hawaii</x:v>
      </x:c>
      <x:c r="C73" s="23" t="str">
        <x:v>recipe_summary_ko</x:v>
      </x:c>
      <x:c r="D73" s="23" t="str">
        <x:v>recipe_summary_en</x:v>
      </x:c>
      <x:c r="E73" s="23" t="str">
        <x:f>Cocktails!T25</x:f>
        <x:v>상세 재료 순서와 목표 수량 확정 후 제조방법 설명문을 완성한다.</x:v>
      </x:c>
      <x:c r="F73" s="23" t="str">
        <x:f>Cocktails!U25</x:f>
        <x:v>Complete this preparation summary after the ingredient order and target quantities are finalized.</x:v>
      </x:c>
      <x:c r="G73" s="23" t="str">
        <x:f>IF(AND(E73&lt;&gt;"",F73&lt;&gt;""),"OK","MISSING")</x:f>
        <x:v>OK</x:v>
      </x:c>
    </x:row>
    <x:row r="74" ht="15" hidden="0" customHeight="1">
      <x:c r="A74" s="23" t="str">
        <x:v>Cocktails</x:v>
      </x:c>
      <x:c r="B74" s="23" t="str">
        <x:v>grasshopper</x:v>
      </x:c>
      <x:c r="C74" s="23" t="str">
        <x:v>name_ko</x:v>
      </x:c>
      <x:c r="D74" s="23" t="str">
        <x:v>name_en</x:v>
      </x:c>
      <x:c r="E74" s="23" t="str">
        <x:f>Cocktails!F26</x:f>
        <x:v>그래스호퍼</x:v>
      </x:c>
      <x:c r="F74" s="23" t="str">
        <x:f>Cocktails!G26</x:f>
        <x:v>Grasshopper</x:v>
      </x:c>
      <x:c r="G74" s="23" t="str">
        <x:f>IF(AND(E74&lt;&gt;"",F74&lt;&gt;""),"OK","MISSING")</x:f>
        <x:v>OK</x:v>
      </x:c>
    </x:row>
    <x:row r="75" ht="15" hidden="0" customHeight="1">
      <x:c r="A75" s="23" t="str">
        <x:v>Cocktails</x:v>
      </x:c>
      <x:c r="B75" s="23" t="str">
        <x:v>grasshopper</x:v>
      </x:c>
      <x:c r="C75" s="23" t="str">
        <x:v>flavor_ko</x:v>
      </x:c>
      <x:c r="D75" s="23" t="str">
        <x:v>flavor_en</x:v>
      </x:c>
      <x:c r="E75" s="23" t="str">
        <x:f>Cocktails!R26</x:f>
        <x:v>민트와 카카오, 크림이 만드는 차갑고 달콤한 디저트 칵테일.</x:v>
      </x:c>
      <x:c r="F75" s="23" t="str">
        <x:f>Cocktails!S26</x:f>
        <x:v>Mint, cacao, and cream make a cool, sweet dessert cocktail.</x:v>
      </x:c>
      <x:c r="G75" s="23" t="str">
        <x:f>IF(AND(E75&lt;&gt;"",F75&lt;&gt;""),"OK","MISSING")</x:f>
        <x:v>OK</x:v>
      </x:c>
    </x:row>
    <x:row r="76" ht="21.600000381469727" hidden="0" customHeight="1">
      <x:c r="A76" s="23" t="str">
        <x:v>Cocktails</x:v>
      </x:c>
      <x:c r="B76" s="23" t="str">
        <x:v>grasshopper</x:v>
      </x:c>
      <x:c r="C76" s="23" t="str">
        <x:v>recipe_summary_ko</x:v>
      </x:c>
      <x:c r="D76" s="23" t="str">
        <x:v>recipe_summary_en</x:v>
      </x:c>
      <x:c r="E76" s="23" t="str">
        <x:f>Cocktails!T26</x:f>
        <x:v>상세 재료 순서와 목표 수량 확정 후 제조방법 설명문을 완성한다.</x:v>
      </x:c>
      <x:c r="F76" s="23" t="str">
        <x:f>Cocktails!U26</x:f>
        <x:v>Complete this preparation summary after the ingredient order and target quantities are finalized.</x:v>
      </x:c>
      <x:c r="G76" s="23" t="str">
        <x:f>IF(AND(E76&lt;&gt;"",F76&lt;&gt;""),"OK","MISSING")</x:f>
        <x:v>OK</x:v>
      </x:c>
    </x:row>
    <x:row r="77" ht="21.600000381469727" hidden="0" customHeight="1">
      <x:c r="A77" s="23" t="str">
        <x:v>Cocktails</x:v>
      </x:c>
      <x:c r="B77" s="23" t="str">
        <x:v>blue_sapphire</x:v>
      </x:c>
      <x:c r="C77" s="23" t="str">
        <x:v>name_ko</x:v>
      </x:c>
      <x:c r="D77" s="23" t="str">
        <x:v>name_en</x:v>
      </x:c>
      <x:c r="E77" s="23" t="str">
        <x:f>Cocktails!F27</x:f>
        <x:v>블루사파이어</x:v>
      </x:c>
      <x:c r="F77" s="23" t="str">
        <x:f>Cocktails!G27</x:f>
        <x:v>Blue Sapphire</x:v>
      </x:c>
      <x:c r="G77" s="23" t="str">
        <x:f>IF(AND(E77&lt;&gt;"",F77&lt;&gt;""),"OK","MISSING")</x:f>
        <x:v>OK</x:v>
      </x:c>
    </x:row>
    <x:row r="78" ht="21.600000381469727" hidden="0" customHeight="1">
      <x:c r="A78" s="23" t="str">
        <x:v>Cocktails</x:v>
      </x:c>
      <x:c r="B78" s="23" t="str">
        <x:v>blue_sapphire</x:v>
      </x:c>
      <x:c r="C78" s="23" t="str">
        <x:v>flavor_ko</x:v>
      </x:c>
      <x:c r="D78" s="23" t="str">
        <x:v>flavor_en</x:v>
      </x:c>
      <x:c r="E78" s="23" t="str">
        <x:f>Cocktails!R27</x:f>
        <x:v>블루큐라소와 복숭아, 코코넛이 만드는 푸른 보석.</x:v>
      </x:c>
      <x:c r="F78" s="23" t="str">
        <x:f>Cocktails!S27</x:f>
        <x:v>Blue curaçao, peach, and coconut form a liquid blue gem.</x:v>
      </x:c>
      <x:c r="G78" s="23" t="str">
        <x:f>IF(AND(E78&lt;&gt;"",F78&lt;&gt;""),"OK","MISSING")</x:f>
        <x:v>OK</x:v>
      </x:c>
    </x:row>
    <x:row r="79" ht="21.600000381469727" hidden="0" customHeight="1">
      <x:c r="A79" s="23" t="str">
        <x:v>Cocktails</x:v>
      </x:c>
      <x:c r="B79" s="23" t="str">
        <x:v>blue_sapphire</x:v>
      </x:c>
      <x:c r="C79" s="23" t="str">
        <x:v>recipe_summary_ko</x:v>
      </x:c>
      <x:c r="D79" s="23" t="str">
        <x:v>recipe_summary_en</x:v>
      </x:c>
      <x:c r="E79" s="23" t="str">
        <x:f>Cocktails!T27</x:f>
        <x:v>상세 재료 순서와 목표 수량 확정 후 제조방법 설명문을 완성한다.</x:v>
      </x:c>
      <x:c r="F79" s="23" t="str">
        <x:f>Cocktails!U27</x:f>
        <x:v>Complete this preparation summary after the ingredient order and target quantities are finalized.</x:v>
      </x:c>
      <x:c r="G79" s="23" t="str">
        <x:f>IF(AND(E79&lt;&gt;"",F79&lt;&gt;""),"OK","MISSING")</x:f>
        <x:v>OK</x:v>
      </x:c>
    </x:row>
    <x:row r="80" ht="15" hidden="0" customHeight="1">
      <x:c r="A80" s="23" t="str">
        <x:v>Cocktails</x:v>
      </x:c>
      <x:c r="B80" s="23" t="str">
        <x:v>irish_coffee</x:v>
      </x:c>
      <x:c r="C80" s="23" t="str">
        <x:v>name_ko</x:v>
      </x:c>
      <x:c r="D80" s="23" t="str">
        <x:v>name_en</x:v>
      </x:c>
      <x:c r="E80" s="23" t="str">
        <x:f>Cocktails!F28</x:f>
        <x:v>아이리쉬 커피</x:v>
      </x:c>
      <x:c r="F80" s="23" t="str">
        <x:f>Cocktails!G28</x:f>
        <x:v>Irish Coffee</x:v>
      </x:c>
      <x:c r="G80" s="23" t="str">
        <x:f>IF(AND(E80&lt;&gt;"",F80&lt;&gt;""),"OK","MISSING")</x:f>
        <x:v>OK</x:v>
      </x:c>
    </x:row>
    <x:row r="81" ht="15" hidden="0" customHeight="1">
      <x:c r="A81" s="23" t="str">
        <x:v>Cocktails</x:v>
      </x:c>
      <x:c r="B81" s="23" t="str">
        <x:v>irish_coffee</x:v>
      </x:c>
      <x:c r="C81" s="23" t="str">
        <x:v>flavor_ko</x:v>
      </x:c>
      <x:c r="D81" s="23" t="str">
        <x:v>flavor_en</x:v>
      </x:c>
      <x:c r="E81" s="23" t="str">
        <x:f>Cocktails!R28</x:f>
        <x:v>위스키와 뜨거운 커피 위에 크림을 띄운 따뜻한 한 잔.</x:v>
      </x:c>
      <x:c r="F81" s="23" t="str">
        <x:f>Cocktails!S28</x:f>
        <x:v>Whiskey and hot coffee topped with cream for a warming drink.</x:v>
      </x:c>
      <x:c r="G81" s="23" t="str">
        <x:f>IF(AND(E81&lt;&gt;"",F81&lt;&gt;""),"OK","MISSING")</x:f>
        <x:v>OK</x:v>
      </x:c>
    </x:row>
    <x:row r="82" ht="21.600000381469727" hidden="0" customHeight="1">
      <x:c r="A82" s="23" t="str">
        <x:v>Cocktails</x:v>
      </x:c>
      <x:c r="B82" s="23" t="str">
        <x:v>irish_coffee</x:v>
      </x:c>
      <x:c r="C82" s="23" t="str">
        <x:v>recipe_summary_ko</x:v>
      </x:c>
      <x:c r="D82" s="23" t="str">
        <x:v>recipe_summary_en</x:v>
      </x:c>
      <x:c r="E82" s="23" t="str">
        <x:f>Cocktails!T28</x:f>
        <x:v>상세 재료 순서와 목표 수량 확정 후 제조방법 설명문을 완성한다.</x:v>
      </x:c>
      <x:c r="F82" s="23" t="str">
        <x:f>Cocktails!U28</x:f>
        <x:v>Complete this preparation summary after the ingredient order and target quantities are finalized.</x:v>
      </x:c>
      <x:c r="G82" s="23" t="str">
        <x:f>IF(AND(E82&lt;&gt;"",F82&lt;&gt;""),"OK","MISSING")</x:f>
        <x:v>OK</x:v>
      </x:c>
    </x:row>
    <x:row r="83" ht="21.600000381469727" hidden="0" customHeight="1">
      <x:c r="A83" s="23" t="str">
        <x:v>Cocktails</x:v>
      </x:c>
      <x:c r="B83" s="23" t="str">
        <x:v>long_island_iced_tea</x:v>
      </x:c>
      <x:c r="C83" s="23" t="str">
        <x:v>name_ko</x:v>
      </x:c>
      <x:c r="D83" s="23" t="str">
        <x:v>name_en</x:v>
      </x:c>
      <x:c r="E83" s="23" t="str">
        <x:f>Cocktails!F29</x:f>
        <x:v>롱아일랜드 아이스티</x:v>
      </x:c>
      <x:c r="F83" s="23" t="str">
        <x:f>Cocktails!G29</x:f>
        <x:v>Long Island Iced Tea</x:v>
      </x:c>
      <x:c r="G83" s="23" t="str">
        <x:f>IF(AND(E83&lt;&gt;"",F83&lt;&gt;""),"OK","MISSING")</x:f>
        <x:v>OK</x:v>
      </x:c>
    </x:row>
    <x:row r="84" ht="21.600000381469727" hidden="0" customHeight="1">
      <x:c r="A84" s="23" t="str">
        <x:v>Cocktails</x:v>
      </x:c>
      <x:c r="B84" s="23" t="str">
        <x:v>long_island_iced_tea</x:v>
      </x:c>
      <x:c r="C84" s="23" t="str">
        <x:v>flavor_ko</x:v>
      </x:c>
      <x:c r="D84" s="23" t="str">
        <x:v>flavor_en</x:v>
      </x:c>
      <x:c r="E84" s="23" t="str">
        <x:f>Cocktails!R29</x:f>
        <x:v>홍차는 한 방울도 안 들어간다. 그게 함정이다.</x:v>
      </x:c>
      <x:c r="F84" s="23" t="str">
        <x:f>Cocktails!S29</x:f>
        <x:v>Not a drop of tea in it. That's the trap.</x:v>
      </x:c>
      <x:c r="G84" s="23" t="str">
        <x:f>IF(AND(E84&lt;&gt;"",F84&lt;&gt;""),"OK","MISSING")</x:f>
        <x:v>OK</x:v>
      </x:c>
    </x:row>
    <x:row r="85" ht="21.600000381469727" hidden="0" customHeight="1">
      <x:c r="A85" s="23" t="str">
        <x:v>Cocktails</x:v>
      </x:c>
      <x:c r="B85" s="23" t="str">
        <x:v>long_island_iced_tea</x:v>
      </x:c>
      <x:c r="C85" s="23" t="str">
        <x:v>recipe_summary_ko</x:v>
      </x:c>
      <x:c r="D85" s="23" t="str">
        <x:v>recipe_summary_en</x:v>
      </x:c>
      <x:c r="E85" s="23" t="str">
        <x:f>Cocktails!T29</x:f>
        <x:v>진·보드카·럼·데킬라를 따른 뒤 레몬을 스퀴즈하고 콜라로 필업한다.</x:v>
      </x:c>
      <x:c r="F85" s="23" t="str">
        <x:f>Cocktails!U29</x:f>
        <x:v>Pour the gin, vodka, rum, and tequila, squeeze the lemon, then top with cola.</x:v>
      </x:c>
      <x:c r="G85" s="23" t="str">
        <x:f>IF(AND(E85&lt;&gt;"",F85&lt;&gt;""),"OK","MISSING")</x:f>
        <x:v>OK</x:v>
      </x:c>
    </x:row>
    <x:row r="86" ht="15" hidden="0" customHeight="1">
      <x:c r="A86" s="23" t="str">
        <x:v>Cocktails</x:v>
      </x:c>
      <x:c r="B86" s="23" t="str">
        <x:v>oasis_sunset</x:v>
      </x:c>
      <x:c r="C86" s="23" t="str">
        <x:v>name_ko</x:v>
      </x:c>
      <x:c r="D86" s="23" t="str">
        <x:v>name_en</x:v>
      </x:c>
      <x:c r="E86" s="23" t="str">
        <x:f>Cocktails!F30</x:f>
        <x:v>오아시스 선셋</x:v>
      </x:c>
      <x:c r="F86" s="23" t="str">
        <x:f>Cocktails!G30</x:f>
        <x:v>Oasis Sunset</x:v>
      </x:c>
      <x:c r="G86" s="23" t="str">
        <x:f>IF(AND(E86&lt;&gt;"",F86&lt;&gt;""),"OK","MISSING")</x:f>
        <x:v>OK</x:v>
      </x:c>
    </x:row>
    <x:row r="87" ht="15" hidden="0" customHeight="1">
      <x:c r="A87" s="23" t="str">
        <x:v>Cocktails</x:v>
      </x:c>
      <x:c r="B87" s="23" t="str">
        <x:v>oasis_sunset</x:v>
      </x:c>
      <x:c r="C87" s="23" t="str">
        <x:v>flavor_ko</x:v>
      </x:c>
      <x:c r="D87" s="23" t="str">
        <x:v>flavor_en</x:v>
      </x:c>
      <x:c r="E87" s="23" t="str">
        <x:f>Cocktails!R30</x:f>
        <x:v>푸른 오아시스 위로 붉은 노을이 번지는 바의 시그니처 칵테일.</x:v>
      </x:c>
      <x:c r="F87" s="23" t="str">
        <x:f>Cocktails!S30</x:f>
        <x:v>The bar's signature: a red sunset spreading over a blue oasis.</x:v>
      </x:c>
      <x:c r="G87" s="23" t="str">
        <x:f>IF(AND(E87&lt;&gt;"",F87&lt;&gt;""),"OK","MISSING")</x:f>
        <x:v>OK</x:v>
      </x:c>
    </x:row>
    <x:row r="88" ht="21.600000381469727" hidden="0" customHeight="1">
      <x:c r="A88" s="23" t="str">
        <x:v>Cocktails</x:v>
      </x:c>
      <x:c r="B88" s="23" t="str">
        <x:v>oasis_sunset</x:v>
      </x:c>
      <x:c r="C88" s="23" t="str">
        <x:v>recipe_summary_ko</x:v>
      </x:c>
      <x:c r="D88" s="23" t="str">
        <x:v>recipe_summary_en</x:v>
      </x:c>
      <x:c r="E88" s="23" t="str">
        <x:f>Cocktails!T30</x:f>
        <x:v>상세 재료 순서와 목표 수량 확정 후 제조방법 설명문을 완성한다.</x:v>
      </x:c>
      <x:c r="F88" s="23" t="str">
        <x:f>Cocktails!U30</x:f>
        <x:v>Complete this preparation summary after the ingredient order and target quantities are finalized.</x:v>
      </x:c>
      <x:c r="G88" s="23" t="str">
        <x:f>IF(AND(E88&lt;&gt;"",F88&lt;&gt;""),"OK","MISSING")</x:f>
        <x:v>OK</x:v>
      </x:c>
    </x:row>
    <x:row r="89" ht="15" hidden="0" customHeight="1">
      <x:c r="A89" s="23" t="str">
        <x:v>Ingredients</x:v>
      </x:c>
      <x:c r="B89" s="23" t="str">
        <x:v>gin</x:v>
      </x:c>
      <x:c r="C89" s="23" t="str">
        <x:v>name_ko</x:v>
      </x:c>
      <x:c r="D89" s="23" t="str">
        <x:v>name_en</x:v>
      </x:c>
      <x:c r="E89" s="23" t="str">
        <x:f>Ingredients!D2</x:f>
        <x:v>진</x:v>
      </x:c>
      <x:c r="F89" s="23" t="str">
        <x:f>Ingredients!E2</x:f>
        <x:v>Gin</x:v>
      </x:c>
      <x:c r="G89" s="23" t="str">
        <x:f>IF(AND(E89&lt;&gt;"",F89&lt;&gt;""),"OK","MISSING")</x:f>
        <x:v>OK</x:v>
      </x:c>
    </x:row>
    <x:row r="90" ht="21.600000381469727" hidden="0" customHeight="1">
      <x:c r="A90" s="23" t="str">
        <x:v>Ingredients</x:v>
      </x:c>
      <x:c r="B90" s="23" t="str">
        <x:v>gin</x:v>
      </x:c>
      <x:c r="C90" s="23" t="str">
        <x:v>description_ko</x:v>
      </x:c>
      <x:c r="D90" s="23" t="str">
        <x:v>description_en</x:v>
      </x:c>
      <x:c r="E90" s="23" t="str">
        <x:f>Ingredients!L2</x:f>
        <x:v>주니퍼베리 향의 증류주. 칵테일의 기본기.</x:v>
      </x:c>
      <x:c r="F90" s="23" t="str">
        <x:f>Ingredients!M2</x:f>
        <x:v>A juniper-scented spirit. The foundation of cocktails.</x:v>
      </x:c>
      <x:c r="G90" s="23" t="str">
        <x:f>IF(AND(E90&lt;&gt;"",F90&lt;&gt;""),"OK","MISSING")</x:f>
        <x:v>OK</x:v>
      </x:c>
    </x:row>
    <x:row r="91" ht="15" hidden="0" customHeight="1">
      <x:c r="A91" s="23" t="str">
        <x:v>Ingredients</x:v>
      </x:c>
      <x:c r="B91" s="23" t="str">
        <x:v>beer</x:v>
      </x:c>
      <x:c r="C91" s="23" t="str">
        <x:v>name_ko</x:v>
      </x:c>
      <x:c r="D91" s="23" t="str">
        <x:v>name_en</x:v>
      </x:c>
      <x:c r="E91" s="23" t="str">
        <x:f>Ingredients!D3</x:f>
        <x:v>맥주</x:v>
      </x:c>
      <x:c r="F91" s="23" t="str">
        <x:f>Ingredients!E3</x:f>
        <x:v>Beer</x:v>
      </x:c>
      <x:c r="G91" s="23" t="str">
        <x:f>IF(AND(E91&lt;&gt;"",F91&lt;&gt;""),"OK","MISSING")</x:f>
        <x:v>OK</x:v>
      </x:c>
    </x:row>
    <x:row r="92" ht="21.600000381469727" hidden="0" customHeight="1">
      <x:c r="A92" s="23" t="str">
        <x:v>Ingredients</x:v>
      </x:c>
      <x:c r="B92" s="23" t="str">
        <x:v>beer</x:v>
      </x:c>
      <x:c r="C92" s="23" t="str">
        <x:v>description_ko</x:v>
      </x:c>
      <x:c r="D92" s="23" t="str">
        <x:v>description_en</x:v>
      </x:c>
      <x:c r="E92" s="23" t="str">
        <x:f>Ingredients!L3</x:f>
        <x:v>차갑게. 그게 전부이자 진리.</x:v>
      </x:c>
      <x:c r="F92" s="23" t="str">
        <x:f>Ingredients!M3</x:f>
        <x:v>Serve it cold. That's the whole truth.</x:v>
      </x:c>
      <x:c r="G92" s="23" t="str">
        <x:f>IF(AND(E92&lt;&gt;"",F92&lt;&gt;""),"OK","MISSING")</x:f>
        <x:v>OK</x:v>
      </x:c>
    </x:row>
    <x:row r="93" ht="15" hidden="0" customHeight="1">
      <x:c r="A93" s="23" t="str">
        <x:v>Ingredients</x:v>
      </x:c>
      <x:c r="B93" s="23" t="str">
        <x:v>red_wine</x:v>
      </x:c>
      <x:c r="C93" s="23" t="str">
        <x:v>name_ko</x:v>
      </x:c>
      <x:c r="D93" s="23" t="str">
        <x:v>name_en</x:v>
      </x:c>
      <x:c r="E93" s="23" t="str">
        <x:f>Ingredients!D4</x:f>
        <x:v>레드와인</x:v>
      </x:c>
      <x:c r="F93" s="23" t="str">
        <x:f>Ingredients!E4</x:f>
        <x:v>Red Wine</x:v>
      </x:c>
      <x:c r="G93" s="23" t="str">
        <x:f>IF(AND(E93&lt;&gt;"",F93&lt;&gt;""),"OK","MISSING")</x:f>
        <x:v>OK</x:v>
      </x:c>
    </x:row>
    <x:row r="94" ht="21.600000381469727" hidden="0" customHeight="1">
      <x:c r="A94" s="23" t="str">
        <x:v>Ingredients</x:v>
      </x:c>
      <x:c r="B94" s="23" t="str">
        <x:v>red_wine</x:v>
      </x:c>
      <x:c r="C94" s="23" t="str">
        <x:v>description_ko</x:v>
      </x:c>
      <x:c r="D94" s="23" t="str">
        <x:v>description_en</x:v>
      </x:c>
      <x:c r="E94" s="23" t="str">
        <x:f>Ingredients!L4</x:f>
        <x:v>잔에 따르는 순간부터 분위기가 달라진다.</x:v>
      </x:c>
      <x:c r="F94" s="23" t="str">
        <x:f>Ingredients!M4</x:f>
        <x:v>The mood changes the moment it hits the glass.</x:v>
      </x:c>
      <x:c r="G94" s="23" t="str">
        <x:f>IF(AND(E94&lt;&gt;"",F94&lt;&gt;""),"OK","MISSING")</x:f>
        <x:v>OK</x:v>
      </x:c>
    </x:row>
    <x:row r="95" ht="15" hidden="0" customHeight="1">
      <x:c r="A95" s="23" t="str">
        <x:v>Ingredients</x:v>
      </x:c>
      <x:c r="B95" s="23" t="str">
        <x:v>champagne</x:v>
      </x:c>
      <x:c r="C95" s="23" t="str">
        <x:v>name_ko</x:v>
      </x:c>
      <x:c r="D95" s="23" t="str">
        <x:v>name_en</x:v>
      </x:c>
      <x:c r="E95" s="23" t="str">
        <x:f>Ingredients!D5</x:f>
        <x:v>샴페인</x:v>
      </x:c>
      <x:c r="F95" s="23" t="str">
        <x:f>Ingredients!E5</x:f>
        <x:v>Champagne</x:v>
      </x:c>
      <x:c r="G95" s="23" t="str">
        <x:f>IF(AND(E95&lt;&gt;"",F95&lt;&gt;""),"OK","MISSING")</x:f>
        <x:v>OK</x:v>
      </x:c>
    </x:row>
    <x:row r="96" ht="21.600000381469727" hidden="0" customHeight="1">
      <x:c r="A96" s="23" t="str">
        <x:v>Ingredients</x:v>
      </x:c>
      <x:c r="B96" s="23" t="str">
        <x:v>champagne</x:v>
      </x:c>
      <x:c r="C96" s="23" t="str">
        <x:v>description_ko</x:v>
      </x:c>
      <x:c r="D96" s="23" t="str">
        <x:v>description_en</x:v>
      </x:c>
      <x:c r="E96" s="23" t="str">
        <x:f>Ingredients!L5</x:f>
        <x:v>축하할 일이 없어도 축하하게 만드는 술.</x:v>
      </x:c>
      <x:c r="F96" s="23" t="str">
        <x:f>Ingredients!M5</x:f>
        <x:v>Makes you celebrate even with nothing to celebrate.</x:v>
      </x:c>
      <x:c r="G96" s="23" t="str">
        <x:f>IF(AND(E96&lt;&gt;"",F96&lt;&gt;""),"OK","MISSING")</x:f>
        <x:v>OK</x:v>
      </x:c>
    </x:row>
    <x:row r="97" ht="15" hidden="0" customHeight="1">
      <x:c r="A97" s="23" t="str">
        <x:v>Ingredients</x:v>
      </x:c>
      <x:c r="B97" s="23" t="str">
        <x:v>tonic_water</x:v>
      </x:c>
      <x:c r="C97" s="23" t="str">
        <x:v>name_ko</x:v>
      </x:c>
      <x:c r="D97" s="23" t="str">
        <x:v>name_en</x:v>
      </x:c>
      <x:c r="E97" s="23" t="str">
        <x:f>Ingredients!D6</x:f>
        <x:v>토닉워터</x:v>
      </x:c>
      <x:c r="F97" s="23" t="str">
        <x:f>Ingredients!E6</x:f>
        <x:v>Tonic Water</x:v>
      </x:c>
      <x:c r="G97" s="23" t="str">
        <x:f>IF(AND(E97&lt;&gt;"",F97&lt;&gt;""),"OK","MISSING")</x:f>
        <x:v>OK</x:v>
      </x:c>
    </x:row>
    <x:row r="98" ht="21.600000381469727" hidden="0" customHeight="1">
      <x:c r="A98" s="23" t="str">
        <x:v>Ingredients</x:v>
      </x:c>
      <x:c r="B98" s="23" t="str">
        <x:v>tonic_water</x:v>
      </x:c>
      <x:c r="C98" s="23" t="str">
        <x:v>description_ko</x:v>
      </x:c>
      <x:c r="D98" s="23" t="str">
        <x:v>description_en</x:v>
      </x:c>
      <x:c r="E98" s="23" t="str">
        <x:f>Ingredients!L6</x:f>
        <x:v>씁쓸한 탄산. 진의 가장 오랜 친구.</x:v>
      </x:c>
      <x:c r="F98" s="23" t="str">
        <x:f>Ingredients!M6</x:f>
        <x:v>Bitter fizz. Gin's oldest friend.</x:v>
      </x:c>
      <x:c r="G98" s="23" t="str">
        <x:f>IF(AND(E98&lt;&gt;"",F98&lt;&gt;""),"OK","MISSING")</x:f>
        <x:v>OK</x:v>
      </x:c>
    </x:row>
    <x:row r="99" ht="15" hidden="0" customHeight="1">
      <x:c r="A99" s="23" t="str">
        <x:v>Ingredients</x:v>
      </x:c>
      <x:c r="B99" s="23" t="str">
        <x:v>soda_water</x:v>
      </x:c>
      <x:c r="C99" s="23" t="str">
        <x:v>name_ko</x:v>
      </x:c>
      <x:c r="D99" s="23" t="str">
        <x:v>name_en</x:v>
      </x:c>
      <x:c r="E99" s="23" t="str">
        <x:f>Ingredients!D7</x:f>
        <x:v>소다수</x:v>
      </x:c>
      <x:c r="F99" s="23" t="str">
        <x:f>Ingredients!E7</x:f>
        <x:v>Soda Water</x:v>
      </x:c>
      <x:c r="G99" s="23" t="str">
        <x:f>IF(AND(E99&lt;&gt;"",F99&lt;&gt;""),"OK","MISSING")</x:f>
        <x:v>OK</x:v>
      </x:c>
    </x:row>
    <x:row r="100" ht="21.600000381469727" hidden="0" customHeight="1">
      <x:c r="A100" s="23" t="str">
        <x:v>Ingredients</x:v>
      </x:c>
      <x:c r="B100" s="23" t="str">
        <x:v>soda_water</x:v>
      </x:c>
      <x:c r="C100" s="23" t="str">
        <x:v>description_ko</x:v>
      </x:c>
      <x:c r="D100" s="23" t="str">
        <x:v>description_en</x:v>
      </x:c>
      <x:c r="E100" s="23" t="str">
        <x:f>Ingredients!L7</x:f>
        <x:v>아무 맛도 없어서 무엇이든 될 수 있다.</x:v>
      </x:c>
      <x:c r="F100" s="23" t="str">
        <x:f>Ingredients!M7</x:f>
        <x:v>Tastes like nothing, so it can become anything.</x:v>
      </x:c>
      <x:c r="G100" s="23" t="str">
        <x:f>IF(AND(E100&lt;&gt;"",F100&lt;&gt;""),"OK","MISSING")</x:f>
        <x:v>OK</x:v>
      </x:c>
    </x:row>
    <x:row r="101" ht="15" hidden="0" customHeight="1">
      <x:c r="A101" s="23" t="str">
        <x:v>Ingredients</x:v>
      </x:c>
      <x:c r="B101" s="23" t="str">
        <x:v>lemon</x:v>
      </x:c>
      <x:c r="C101" s="23" t="str">
        <x:v>name_ko</x:v>
      </x:c>
      <x:c r="D101" s="23" t="str">
        <x:v>name_en</x:v>
      </x:c>
      <x:c r="E101" s="23" t="str">
        <x:f>Ingredients!D8</x:f>
        <x:v>레몬</x:v>
      </x:c>
      <x:c r="F101" s="23" t="str">
        <x:f>Ingredients!E8</x:f>
        <x:v>Lemon</x:v>
      </x:c>
      <x:c r="G101" s="23" t="str">
        <x:f>IF(AND(E101&lt;&gt;"",F101&lt;&gt;""),"OK","MISSING")</x:f>
        <x:v>OK</x:v>
      </x:c>
    </x:row>
    <x:row r="102" ht="21.600000381469727" hidden="0" customHeight="1">
      <x:c r="A102" s="23" t="str">
        <x:v>Ingredients</x:v>
      </x:c>
      <x:c r="B102" s="23" t="str">
        <x:v>lemon</x:v>
      </x:c>
      <x:c r="C102" s="23" t="str">
        <x:v>description_ko</x:v>
      </x:c>
      <x:c r="D102" s="23" t="str">
        <x:v>description_en</x:v>
      </x:c>
      <x:c r="E102" s="23" t="str">
        <x:f>Ingredients!L8</x:f>
        <x:v>스퀴즈용. 새콤함의 표준.</x:v>
      </x:c>
      <x:c r="F102" s="23" t="str">
        <x:f>Ingredients!M8</x:f>
        <x:v>For squeezing. The standard of sour.</x:v>
      </x:c>
      <x:c r="G102" s="23" t="str">
        <x:f>IF(AND(E102&lt;&gt;"",F102&lt;&gt;""),"OK","MISSING")</x:f>
        <x:v>OK</x:v>
      </x:c>
    </x:row>
    <x:row r="103" ht="15" hidden="0" customHeight="1">
      <x:c r="A103" s="23" t="str">
        <x:v>Ingredients</x:v>
      </x:c>
      <x:c r="B103" s="23" t="str">
        <x:v>sugar</x:v>
      </x:c>
      <x:c r="C103" s="23" t="str">
        <x:v>name_ko</x:v>
      </x:c>
      <x:c r="D103" s="23" t="str">
        <x:v>name_en</x:v>
      </x:c>
      <x:c r="E103" s="23" t="str">
        <x:f>Ingredients!D9</x:f>
        <x:v>설탕</x:v>
      </x:c>
      <x:c r="F103" s="23" t="str">
        <x:f>Ingredients!E9</x:f>
        <x:v>Sugar</x:v>
      </x:c>
      <x:c r="G103" s="23" t="str">
        <x:f>IF(AND(E103&lt;&gt;"",F103&lt;&gt;""),"OK","MISSING")</x:f>
        <x:v>OK</x:v>
      </x:c>
    </x:row>
    <x:row r="104" ht="21.600000381469727" hidden="0" customHeight="1">
      <x:c r="A104" s="23" t="str">
        <x:v>Ingredients</x:v>
      </x:c>
      <x:c r="B104" s="23" t="str">
        <x:v>sugar</x:v>
      </x:c>
      <x:c r="C104" s="23" t="str">
        <x:v>description_ko</x:v>
      </x:c>
      <x:c r="D104" s="23" t="str">
        <x:v>description_en</x:v>
      </x:c>
      <x:c r="E104" s="23" t="str">
        <x:f>Ingredients!L9</x:f>
        <x:v>파우더용. 1티스푼의 위로.</x:v>
      </x:c>
      <x:c r="F104" s="23" t="str">
        <x:f>Ingredients!M9</x:f>
        <x:v>For powder. One teaspoon of comfort.</x:v>
      </x:c>
      <x:c r="G104" s="23" t="str">
        <x:f>IF(AND(E104&lt;&gt;"",F104&lt;&gt;""),"OK","MISSING")</x:f>
        <x:v>OK</x:v>
      </x:c>
    </x:row>
    <x:row r="105" ht="15" hidden="0" customHeight="1">
      <x:c r="A105" s="23" t="str">
        <x:v>Ingredients</x:v>
      </x:c>
      <x:c r="B105" s="23" t="str">
        <x:v>tequila</x:v>
      </x:c>
      <x:c r="C105" s="23" t="str">
        <x:v>name_ko</x:v>
      </x:c>
      <x:c r="D105" s="23" t="str">
        <x:v>name_en</x:v>
      </x:c>
      <x:c r="E105" s="23" t="str">
        <x:f>Ingredients!D10</x:f>
        <x:v>데킬라</x:v>
      </x:c>
      <x:c r="F105" s="23" t="str">
        <x:f>Ingredients!E10</x:f>
        <x:v>Tequila</x:v>
      </x:c>
      <x:c r="G105" s="23" t="str">
        <x:f>IF(AND(E105&lt;&gt;"",F105&lt;&gt;""),"OK","MISSING")</x:f>
        <x:v>OK</x:v>
      </x:c>
    </x:row>
    <x:row r="106" ht="21.600000381469727" hidden="0" customHeight="1">
      <x:c r="A106" s="23" t="str">
        <x:v>Ingredients</x:v>
      </x:c>
      <x:c r="B106" s="23" t="str">
        <x:v>tequila</x:v>
      </x:c>
      <x:c r="C106" s="23" t="str">
        <x:v>description_ko</x:v>
      </x:c>
      <x:c r="D106" s="23" t="str">
        <x:v>description_en</x:v>
      </x:c>
      <x:c r="E106" s="23" t="str">
        <x:f>Ingredients!L10</x:f>
        <x:v>아가베의 태양을 병에 담은 것.</x:v>
      </x:c>
      <x:c r="F106" s="23" t="str">
        <x:f>Ingredients!M10</x:f>
        <x:v>The agave sun, bottled.</x:v>
      </x:c>
      <x:c r="G106" s="23" t="str">
        <x:f>IF(AND(E106&lt;&gt;"",F106&lt;&gt;""),"OK","MISSING")</x:f>
        <x:v>OK</x:v>
      </x:c>
    </x:row>
    <x:row r="107" ht="15" hidden="0" customHeight="1">
      <x:c r="A107" s="23" t="str">
        <x:v>Ingredients</x:v>
      </x:c>
      <x:c r="B107" s="23" t="str">
        <x:v>vodka</x:v>
      </x:c>
      <x:c r="C107" s="23" t="str">
        <x:v>name_ko</x:v>
      </x:c>
      <x:c r="D107" s="23" t="str">
        <x:v>name_en</x:v>
      </x:c>
      <x:c r="E107" s="23" t="str">
        <x:f>Ingredients!D11</x:f>
        <x:v>보드카</x:v>
      </x:c>
      <x:c r="F107" s="23" t="str">
        <x:f>Ingredients!E11</x:f>
        <x:v>Vodka</x:v>
      </x:c>
      <x:c r="G107" s="23" t="str">
        <x:f>IF(AND(E107&lt;&gt;"",F107&lt;&gt;""),"OK","MISSING")</x:f>
        <x:v>OK</x:v>
      </x:c>
    </x:row>
    <x:row r="108" ht="21.600000381469727" hidden="0" customHeight="1">
      <x:c r="A108" s="23" t="str">
        <x:v>Ingredients</x:v>
      </x:c>
      <x:c r="B108" s="23" t="str">
        <x:v>vodka</x:v>
      </x:c>
      <x:c r="C108" s="23" t="str">
        <x:v>description_ko</x:v>
      </x:c>
      <x:c r="D108" s="23" t="str">
        <x:v>description_en</x:v>
      </x:c>
      <x:c r="E108" s="23" t="str">
        <x:f>Ingredients!L11</x:f>
        <x:v>무색무취. 그래서 어디에나 스며든다.</x:v>
      </x:c>
      <x:c r="F108" s="23" t="str">
        <x:f>Ingredients!M11</x:f>
        <x:v>Colorless and odorless — that's how it blends in anywhere.</x:v>
      </x:c>
      <x:c r="G108" s="23" t="str">
        <x:f>IF(AND(E108&lt;&gt;"",F108&lt;&gt;""),"OK","MISSING")</x:f>
        <x:v>OK</x:v>
      </x:c>
    </x:row>
    <x:row r="109" ht="15" hidden="0" customHeight="1">
      <x:c r="A109" s="23" t="str">
        <x:v>Ingredients</x:v>
      </x:c>
      <x:c r="B109" s="23" t="str">
        <x:v>rum</x:v>
      </x:c>
      <x:c r="C109" s="23" t="str">
        <x:v>name_ko</x:v>
      </x:c>
      <x:c r="D109" s="23" t="str">
        <x:v>name_en</x:v>
      </x:c>
      <x:c r="E109" s="23" t="str">
        <x:f>Ingredients!D12</x:f>
        <x:v>럼</x:v>
      </x:c>
      <x:c r="F109" s="23" t="str">
        <x:f>Ingredients!E12</x:f>
        <x:v>Rum</x:v>
      </x:c>
      <x:c r="G109" s="23" t="str">
        <x:f>IF(AND(E109&lt;&gt;"",F109&lt;&gt;""),"OK","MISSING")</x:f>
        <x:v>OK</x:v>
      </x:c>
    </x:row>
    <x:row r="110" ht="21.600000381469727" hidden="0" customHeight="1">
      <x:c r="A110" s="23" t="str">
        <x:v>Ingredients</x:v>
      </x:c>
      <x:c r="B110" s="23" t="str">
        <x:v>rum</x:v>
      </x:c>
      <x:c r="C110" s="23" t="str">
        <x:v>description_ko</x:v>
      </x:c>
      <x:c r="D110" s="23" t="str">
        <x:v>description_en</x:v>
      </x:c>
      <x:c r="E110" s="23" t="str">
        <x:f>Ingredients!L12</x:f>
        <x:v>사탕수수와 항해의 술.</x:v>
      </x:c>
      <x:c r="F110" s="23" t="str">
        <x:f>Ingredients!M12</x:f>
        <x:v>The spirit of sugarcane and long voyages.</x:v>
      </x:c>
      <x:c r="G110" s="23" t="str">
        <x:f>IF(AND(E110&lt;&gt;"",F110&lt;&gt;""),"OK","MISSING")</x:f>
        <x:v>OK</x:v>
      </x:c>
    </x:row>
    <x:row r="111" ht="15" hidden="0" customHeight="1">
      <x:c r="A111" s="23" t="str">
        <x:v>Ingredients</x:v>
      </x:c>
      <x:c r="B111" s="23" t="str">
        <x:v>orange_juice</x:v>
      </x:c>
      <x:c r="C111" s="23" t="str">
        <x:v>name_ko</x:v>
      </x:c>
      <x:c r="D111" s="23" t="str">
        <x:v>name_en</x:v>
      </x:c>
      <x:c r="E111" s="23" t="str">
        <x:f>Ingredients!D13</x:f>
        <x:v>오렌지주스</x:v>
      </x:c>
      <x:c r="F111" s="23" t="str">
        <x:f>Ingredients!E13</x:f>
        <x:v>Orange Juice</x:v>
      </x:c>
      <x:c r="G111" s="23" t="str">
        <x:f>IF(AND(E111&lt;&gt;"",F111&lt;&gt;""),"OK","MISSING")</x:f>
        <x:v>OK</x:v>
      </x:c>
    </x:row>
    <x:row r="112" ht="21.600000381469727" hidden="0" customHeight="1">
      <x:c r="A112" s="23" t="str">
        <x:v>Ingredients</x:v>
      </x:c>
      <x:c r="B112" s="23" t="str">
        <x:v>orange_juice</x:v>
      </x:c>
      <x:c r="C112" s="23" t="str">
        <x:v>description_ko</x:v>
      </x:c>
      <x:c r="D112" s="23" t="str">
        <x:v>description_en</x:v>
      </x:c>
      <x:c r="E112" s="23" t="str">
        <x:f>Ingredients!L13</x:f>
        <x:v>아침의 맛. 새벽의 바에서는 위장약.</x:v>
      </x:c>
      <x:c r="F112" s="23" t="str">
        <x:f>Ingredients!M13</x:f>
        <x:v>The taste of morning. At a bar past midnight, it's medicine.</x:v>
      </x:c>
      <x:c r="G112" s="23" t="str">
        <x:f>IF(AND(E112&lt;&gt;"",F112&lt;&gt;""),"OK","MISSING")</x:f>
        <x:v>OK</x:v>
      </x:c>
    </x:row>
    <x:row r="113" ht="15" hidden="0" customHeight="1">
      <x:c r="A113" s="23" t="str">
        <x:v>Ingredients</x:v>
      </x:c>
      <x:c r="B113" s="23" t="str">
        <x:v>ginger_ale</x:v>
      </x:c>
      <x:c r="C113" s="23" t="str">
        <x:v>name_ko</x:v>
      </x:c>
      <x:c r="D113" s="23" t="str">
        <x:v>name_en</x:v>
      </x:c>
      <x:c r="E113" s="23" t="str">
        <x:f>Ingredients!D14</x:f>
        <x:v>진저에일</x:v>
      </x:c>
      <x:c r="F113" s="23" t="str">
        <x:f>Ingredients!E14</x:f>
        <x:v>Ginger Ale</x:v>
      </x:c>
      <x:c r="G113" s="23" t="str">
        <x:f>IF(AND(E113&lt;&gt;"",F113&lt;&gt;""),"OK","MISSING")</x:f>
        <x:v>OK</x:v>
      </x:c>
    </x:row>
    <x:row r="114" ht="21.600000381469727" hidden="0" customHeight="1">
      <x:c r="A114" s="23" t="str">
        <x:v>Ingredients</x:v>
      </x:c>
      <x:c r="B114" s="23" t="str">
        <x:v>ginger_ale</x:v>
      </x:c>
      <x:c r="C114" s="23" t="str">
        <x:v>description_ko</x:v>
      </x:c>
      <x:c r="D114" s="23" t="str">
        <x:v>description_en</x:v>
      </x:c>
      <x:c r="E114" s="23" t="str">
        <x:f>Ingredients!L14</x:f>
        <x:v>알싸한 생강 탄산.</x:v>
      </x:c>
      <x:c r="F114" s="23" t="str">
        <x:f>Ingredients!M14</x:f>
        <x:v>Spicy ginger fizz.</x:v>
      </x:c>
      <x:c r="G114" s="23" t="str">
        <x:f>IF(AND(E114&lt;&gt;"",F114&lt;&gt;""),"OK","MISSING")</x:f>
        <x:v>OK</x:v>
      </x:c>
    </x:row>
    <x:row r="115" ht="15" hidden="0" customHeight="1">
      <x:c r="A115" s="23" t="str">
        <x:v>Ingredients</x:v>
      </x:c>
      <x:c r="B115" s="23" t="str">
        <x:v>cola</x:v>
      </x:c>
      <x:c r="C115" s="23" t="str">
        <x:v>name_ko</x:v>
      </x:c>
      <x:c r="D115" s="23" t="str">
        <x:v>name_en</x:v>
      </x:c>
      <x:c r="E115" s="23" t="str">
        <x:f>Ingredients!D15</x:f>
        <x:v>콜라</x:v>
      </x:c>
      <x:c r="F115" s="23" t="str">
        <x:f>Ingredients!E15</x:f>
        <x:v>Cola</x:v>
      </x:c>
      <x:c r="G115" s="23" t="str">
        <x:f>IF(AND(E115&lt;&gt;"",F115&lt;&gt;""),"OK","MISSING")</x:f>
        <x:v>OK</x:v>
      </x:c>
    </x:row>
    <x:row r="116" ht="21.600000381469727" hidden="0" customHeight="1">
      <x:c r="A116" s="23" t="str">
        <x:v>Ingredients</x:v>
      </x:c>
      <x:c r="B116" s="23" t="str">
        <x:v>cola</x:v>
      </x:c>
      <x:c r="C116" s="23" t="str">
        <x:v>description_ko</x:v>
      </x:c>
      <x:c r="D116" s="23" t="str">
        <x:v>description_en</x:v>
      </x:c>
      <x:c r="E116" s="23" t="str">
        <x:f>Ingredients!L15</x:f>
        <x:v>무엇을 섞어도 콜라 맛이 이긴다. 그게 무기다.</x:v>
      </x:c>
      <x:c r="F116" s="23" t="str">
        <x:f>Ingredients!M15</x:f>
        <x:v>Mix in anything — cola wins. That's its weapon.</x:v>
      </x:c>
      <x:c r="G116" s="23" t="str">
        <x:f>IF(AND(E116&lt;&gt;"",F116&lt;&gt;""),"OK","MISSING")</x:f>
        <x:v>OK</x:v>
      </x:c>
    </x:row>
    <x:row r="117" ht="15" hidden="0" customHeight="1">
      <x:c r="A117" s="23" t="str">
        <x:v>Ingredients</x:v>
      </x:c>
      <x:c r="B117" s="23" t="str">
        <x:v>lime</x:v>
      </x:c>
      <x:c r="C117" s="23" t="str">
        <x:v>name_ko</x:v>
      </x:c>
      <x:c r="D117" s="23" t="str">
        <x:v>name_en</x:v>
      </x:c>
      <x:c r="E117" s="23" t="str">
        <x:f>Ingredients!D16</x:f>
        <x:v>라임</x:v>
      </x:c>
      <x:c r="F117" s="23" t="str">
        <x:f>Ingredients!E16</x:f>
        <x:v>Lime</x:v>
      </x:c>
      <x:c r="G117" s="23" t="str">
        <x:f>IF(AND(E117&lt;&gt;"",F117&lt;&gt;""),"OK","MISSING")</x:f>
        <x:v>OK</x:v>
      </x:c>
    </x:row>
    <x:row r="118" ht="21.600000381469727" hidden="0" customHeight="1">
      <x:c r="A118" s="23" t="str">
        <x:v>Ingredients</x:v>
      </x:c>
      <x:c r="B118" s="23" t="str">
        <x:v>lime</x:v>
      </x:c>
      <x:c r="C118" s="23" t="str">
        <x:v>description_ko</x:v>
      </x:c>
      <x:c r="D118" s="23" t="str">
        <x:v>description_en</x:v>
      </x:c>
      <x:c r="E118" s="23" t="str">
        <x:f>Ingredients!L16</x:f>
        <x:v>스퀴즈용. 레몬보다 한 톤 낮은 산미.</x:v>
      </x:c>
      <x:c r="F118" s="23" t="str">
        <x:f>Ingredients!M16</x:f>
        <x:v>For squeezing. One tone lower than lemon.</x:v>
      </x:c>
      <x:c r="G118" s="23" t="str">
        <x:f>IF(AND(E118&lt;&gt;"",F118&lt;&gt;""),"OK","MISSING")</x:f>
        <x:v>OK</x:v>
      </x:c>
    </x:row>
    <x:row r="119" ht="15" hidden="0" customHeight="1">
      <x:c r="A119" s="23" t="str">
        <x:v>Ingredients</x:v>
      </x:c>
      <x:c r="B119" s="23" t="str">
        <x:v>whiskey</x:v>
      </x:c>
      <x:c r="C119" s="23" t="str">
        <x:v>name_ko</x:v>
      </x:c>
      <x:c r="D119" s="23" t="str">
        <x:v>name_en</x:v>
      </x:c>
      <x:c r="E119" s="23" t="str">
        <x:f>Ingredients!D17</x:f>
        <x:v>위스키</x:v>
      </x:c>
      <x:c r="F119" s="23" t="str">
        <x:f>Ingredients!E17</x:f>
        <x:v>Whiskey</x:v>
      </x:c>
      <x:c r="G119" s="23" t="str">
        <x:f>IF(AND(E119&lt;&gt;"",F119&lt;&gt;""),"OK","MISSING")</x:f>
        <x:v>OK</x:v>
      </x:c>
    </x:row>
    <x:row r="120" ht="21.600000381469727" hidden="0" customHeight="1">
      <x:c r="A120" s="23" t="str">
        <x:v>Ingredients</x:v>
      </x:c>
      <x:c r="B120" s="23" t="str">
        <x:v>whiskey</x:v>
      </x:c>
      <x:c r="C120" s="23" t="str">
        <x:v>description_ko</x:v>
      </x:c>
      <x:c r="D120" s="23" t="str">
        <x:v>description_en</x:v>
      </x:c>
      <x:c r="E120" s="23" t="str">
        <x:f>Ingredients!L17</x:f>
        <x:v>오크통에서 잠들었다 깨어난 시간.</x:v>
      </x:c>
      <x:c r="F120" s="23" t="str">
        <x:f>Ingredients!M17</x:f>
        <x:v>Time that slept in an oak barrel and woke up.</x:v>
      </x:c>
      <x:c r="G120" s="23" t="str">
        <x:f>IF(AND(E120&lt;&gt;"",F120&lt;&gt;""),"OK","MISSING")</x:f>
        <x:v>OK</x:v>
      </x:c>
    </x:row>
    <x:row r="121" ht="21.600000381469727" hidden="0" customHeight="1">
      <x:c r="A121" s="23" t="str">
        <x:v>Ingredients</x:v>
      </x:c>
      <x:c r="B121" s="23" t="str">
        <x:v>dry_vermouth</x:v>
      </x:c>
      <x:c r="C121" s="23" t="str">
        <x:v>name_ko</x:v>
      </x:c>
      <x:c r="D121" s="23" t="str">
        <x:v>name_en</x:v>
      </x:c>
      <x:c r="E121" s="23" t="str">
        <x:f>Ingredients!D18</x:f>
        <x:v>드라이 버무스</x:v>
      </x:c>
      <x:c r="F121" s="23" t="str">
        <x:f>Ingredients!E18</x:f>
        <x:v>Dry Vermouth</x:v>
      </x:c>
      <x:c r="G121" s="23" t="str">
        <x:f>IF(AND(E121&lt;&gt;"",F121&lt;&gt;""),"OK","MISSING")</x:f>
        <x:v>OK</x:v>
      </x:c>
    </x:row>
    <x:row r="122" ht="21.600000381469727" hidden="0" customHeight="1">
      <x:c r="A122" s="23" t="str">
        <x:v>Ingredients</x:v>
      </x:c>
      <x:c r="B122" s="23" t="str">
        <x:v>dry_vermouth</x:v>
      </x:c>
      <x:c r="C122" s="23" t="str">
        <x:v>description_ko</x:v>
      </x:c>
      <x:c r="D122" s="23" t="str">
        <x:v>description_en</x:v>
      </x:c>
      <x:c r="E122" s="23" t="str">
        <x:f>Ingredients!L18</x:f>
        <x:v>마티니를 마티니로 만드는 한 방울.</x:v>
      </x:c>
      <x:c r="F122" s="23" t="str">
        <x:f>Ingredients!M18</x:f>
        <x:v>The one drop that makes a martini a martini.</x:v>
      </x:c>
      <x:c r="G122" s="23" t="str">
        <x:f>IF(AND(E122&lt;&gt;"",F122&lt;&gt;""),"OK","MISSING")</x:f>
        <x:v>OK</x:v>
      </x:c>
    </x:row>
    <x:row r="123" ht="15" hidden="0" customHeight="1">
      <x:c r="A123" s="23" t="str">
        <x:v>Ingredients</x:v>
      </x:c>
      <x:c r="B123" s="23" t="str">
        <x:v>grenadine</x:v>
      </x:c>
      <x:c r="C123" s="23" t="str">
        <x:v>name_ko</x:v>
      </x:c>
      <x:c r="D123" s="23" t="str">
        <x:v>name_en</x:v>
      </x:c>
      <x:c r="E123" s="23" t="str">
        <x:f>Ingredients!D19</x:f>
        <x:v>그레나딘</x:v>
      </x:c>
      <x:c r="F123" s="23" t="str">
        <x:f>Ingredients!E19</x:f>
        <x:v>Grenadine</x:v>
      </x:c>
      <x:c r="G123" s="23" t="str">
        <x:f>IF(AND(E123&lt;&gt;"",F123&lt;&gt;""),"OK","MISSING")</x:f>
        <x:v>OK</x:v>
      </x:c>
    </x:row>
    <x:row r="124" ht="21.600000381469727" hidden="0" customHeight="1">
      <x:c r="A124" s="23" t="str">
        <x:v>Ingredients</x:v>
      </x:c>
      <x:c r="B124" s="23" t="str">
        <x:v>grenadine</x:v>
      </x:c>
      <x:c r="C124" s="23" t="str">
        <x:v>description_ko</x:v>
      </x:c>
      <x:c r="D124" s="23" t="str">
        <x:v>description_en</x:v>
      </x:c>
      <x:c r="E124" s="23" t="str">
        <x:f>Ingredients!L19</x:f>
        <x:v>석류빛 붉은 시럽. 노을 담당.</x:v>
      </x:c>
      <x:c r="F124" s="23" t="str">
        <x:f>Ingredients!M19</x:f>
        <x:v>Pomegranate-red syrup. In charge of sunsets.</x:v>
      </x:c>
      <x:c r="G124" s="23" t="str">
        <x:f>IF(AND(E124&lt;&gt;"",F124&lt;&gt;""),"OK","MISSING")</x:f>
        <x:v>OK</x:v>
      </x:c>
    </x:row>
    <x:row r="125" ht="15" hidden="0" customHeight="1">
      <x:c r="A125" s="23" t="str">
        <x:v>Ingredients</x:v>
      </x:c>
      <x:c r="B125" s="23" t="str">
        <x:v>sour_mix</x:v>
      </x:c>
      <x:c r="C125" s="23" t="str">
        <x:v>name_ko</x:v>
      </x:c>
      <x:c r="D125" s="23" t="str">
        <x:v>name_en</x:v>
      </x:c>
      <x:c r="E125" s="23" t="str">
        <x:f>Ingredients!D20</x:f>
        <x:v>사워믹스</x:v>
      </x:c>
      <x:c r="F125" s="23" t="str">
        <x:f>Ingredients!E20</x:f>
        <x:v>Sour Mix</x:v>
      </x:c>
      <x:c r="G125" s="23" t="str">
        <x:f>IF(AND(E125&lt;&gt;"",F125&lt;&gt;""),"OK","MISSING")</x:f>
        <x:v>OK</x:v>
      </x:c>
    </x:row>
    <x:row r="126" ht="21.600000381469727" hidden="0" customHeight="1">
      <x:c r="A126" s="23" t="str">
        <x:v>Ingredients</x:v>
      </x:c>
      <x:c r="B126" s="23" t="str">
        <x:v>sour_mix</x:v>
      </x:c>
      <x:c r="C126" s="23" t="str">
        <x:v>description_ko</x:v>
      </x:c>
      <x:c r="D126" s="23" t="str">
        <x:v>description_en</x:v>
      </x:c>
      <x:c r="E126" s="23" t="str">
        <x:f>Ingredients!L20</x:f>
        <x:v>새콤한 필업 베이스.</x:v>
      </x:c>
      <x:c r="F126" s="23" t="str">
        <x:f>Ingredients!M20</x:f>
        <x:v>A tangy fill-up base.</x:v>
      </x:c>
      <x:c r="G126" s="23" t="str">
        <x:f>IF(AND(E126&lt;&gt;"",F126&lt;&gt;""),"OK","MISSING")</x:f>
        <x:v>OK</x:v>
      </x:c>
    </x:row>
    <x:row r="127" ht="15" hidden="0" customHeight="1">
      <x:c r="A127" s="23" t="str">
        <x:v>Ingredients</x:v>
      </x:c>
      <x:c r="B127" s="23" t="str">
        <x:v>cointreau</x:v>
      </x:c>
      <x:c r="C127" s="23" t="str">
        <x:v>name_ko</x:v>
      </x:c>
      <x:c r="D127" s="23" t="str">
        <x:v>name_en</x:v>
      </x:c>
      <x:c r="E127" s="23" t="str">
        <x:f>Ingredients!D21</x:f>
        <x:v>쿠앵트로</x:v>
      </x:c>
      <x:c r="F127" s="23" t="str">
        <x:f>Ingredients!E21</x:f>
        <x:v>Cointreau</x:v>
      </x:c>
      <x:c r="G127" s="23" t="str">
        <x:f>IF(AND(E127&lt;&gt;"",F127&lt;&gt;""),"OK","MISSING")</x:f>
        <x:v>OK</x:v>
      </x:c>
    </x:row>
    <x:row r="128" ht="21.600000381469727" hidden="0" customHeight="1">
      <x:c r="A128" s="23" t="str">
        <x:v>Ingredients</x:v>
      </x:c>
      <x:c r="B128" s="23" t="str">
        <x:v>cointreau</x:v>
      </x:c>
      <x:c r="C128" s="23" t="str">
        <x:v>description_ko</x:v>
      </x:c>
      <x:c r="D128" s="23" t="str">
        <x:v>description_en</x:v>
      </x:c>
      <x:c r="E128" s="23" t="str">
        <x:f>Ingredients!L21</x:f>
        <x:v>오렌지 리큐르의 귀족.</x:v>
      </x:c>
      <x:c r="F128" s="23" t="str">
        <x:f>Ingredients!M21</x:f>
        <x:v>The aristocrat of orange liqueurs.</x:v>
      </x:c>
      <x:c r="G128" s="23" t="str">
        <x:f>IF(AND(E128&lt;&gt;"",F128&lt;&gt;""),"OK","MISSING")</x:f>
        <x:v>OK</x:v>
      </x:c>
    </x:row>
    <x:row r="129" ht="21.600000381469727" hidden="0" customHeight="1">
      <x:c r="A129" s="23" t="str">
        <x:v>Ingredients</x:v>
      </x:c>
      <x:c r="B129" s="23" t="str">
        <x:v>cranberry_juice</x:v>
      </x:c>
      <x:c r="C129" s="23" t="str">
        <x:v>name_ko</x:v>
      </x:c>
      <x:c r="D129" s="23" t="str">
        <x:v>name_en</x:v>
      </x:c>
      <x:c r="E129" s="23" t="str">
        <x:f>Ingredients!D22</x:f>
        <x:v>크랜베리주스</x:v>
      </x:c>
      <x:c r="F129" s="23" t="str">
        <x:f>Ingredients!E22</x:f>
        <x:v>Cranberry Juice</x:v>
      </x:c>
      <x:c r="G129" s="23" t="str">
        <x:f>IF(AND(E129&lt;&gt;"",F129&lt;&gt;""),"OK","MISSING")</x:f>
        <x:v>OK</x:v>
      </x:c>
    </x:row>
    <x:row r="130" ht="21.600000381469727" hidden="0" customHeight="1">
      <x:c r="A130" s="23" t="str">
        <x:v>Ingredients</x:v>
      </x:c>
      <x:c r="B130" s="23" t="str">
        <x:v>cranberry_juice</x:v>
      </x:c>
      <x:c r="C130" s="23" t="str">
        <x:v>description_ko</x:v>
      </x:c>
      <x:c r="D130" s="23" t="str">
        <x:v>description_en</x:v>
      </x:c>
      <x:c r="E130" s="23" t="str">
        <x:f>Ingredients!L22</x:f>
        <x:v>붉고 떫고 세련된 맛.</x:v>
      </x:c>
      <x:c r="F130" s="23" t="str">
        <x:f>Ingredients!M22</x:f>
        <x:v>Red, tart, and sophisticated.</x:v>
      </x:c>
      <x:c r="G130" s="23" t="str">
        <x:f>IF(AND(E130&lt;&gt;"",F130&lt;&gt;""),"OK","MISSING")</x:f>
        <x:v>OK</x:v>
      </x:c>
    </x:row>
    <x:row r="131" ht="15" hidden="0" customHeight="1">
      <x:c r="A131" s="23" t="str">
        <x:v>Ingredients</x:v>
      </x:c>
      <x:c r="B131" s="23" t="str">
        <x:v>triple_sec</x:v>
      </x:c>
      <x:c r="C131" s="23" t="str">
        <x:v>name_ko</x:v>
      </x:c>
      <x:c r="D131" s="23" t="str">
        <x:v>name_en</x:v>
      </x:c>
      <x:c r="E131" s="23" t="str">
        <x:f>Ingredients!D23</x:f>
        <x:v>트리플섹</x:v>
      </x:c>
      <x:c r="F131" s="23" t="str">
        <x:f>Ingredients!E23</x:f>
        <x:v>Triple Sec</x:v>
      </x:c>
      <x:c r="G131" s="23" t="str">
        <x:f>IF(AND(E131&lt;&gt;"",F131&lt;&gt;""),"OK","MISSING")</x:f>
        <x:v>OK</x:v>
      </x:c>
    </x:row>
    <x:row r="132" ht="21.600000381469727" hidden="0" customHeight="1">
      <x:c r="A132" s="23" t="str">
        <x:v>Ingredients</x:v>
      </x:c>
      <x:c r="B132" s="23" t="str">
        <x:v>triple_sec</x:v>
      </x:c>
      <x:c r="C132" s="23" t="str">
        <x:v>description_ko</x:v>
      </x:c>
      <x:c r="D132" s="23" t="str">
        <x:v>description_en</x:v>
      </x:c>
      <x:c r="E132" s="23" t="str">
        <x:f>Ingredients!L23</x:f>
        <x:v>오렌지 리큐르의 실용주의자.</x:v>
      </x:c>
      <x:c r="F132" s="23" t="str">
        <x:f>Ingredients!M23</x:f>
        <x:v>The pragmatist of orange liqueurs.</x:v>
      </x:c>
      <x:c r="G132" s="23" t="str">
        <x:f>IF(AND(E132&lt;&gt;"",F132&lt;&gt;""),"OK","MISSING")</x:f>
        <x:v>OK</x:v>
      </x:c>
    </x:row>
    <x:row r="133" ht="15" hidden="0" customHeight="1">
      <x:c r="A133" s="23" t="str">
        <x:v>Ingredients</x:v>
      </x:c>
      <x:c r="B133" s="23" t="str">
        <x:v>kahlua</x:v>
      </x:c>
      <x:c r="C133" s="23" t="str">
        <x:v>name_ko</x:v>
      </x:c>
      <x:c r="D133" s="23" t="str">
        <x:v>name_en</x:v>
      </x:c>
      <x:c r="E133" s="23" t="str">
        <x:f>Ingredients!D24</x:f>
        <x:v>칼루아</x:v>
      </x:c>
      <x:c r="F133" s="23" t="str">
        <x:f>Ingredients!E24</x:f>
        <x:v>Kahlua</x:v>
      </x:c>
      <x:c r="G133" s="23" t="str">
        <x:f>IF(AND(E133&lt;&gt;"",F133&lt;&gt;""),"OK","MISSING")</x:f>
        <x:v>OK</x:v>
      </x:c>
    </x:row>
    <x:row r="134" ht="21.600000381469727" hidden="0" customHeight="1">
      <x:c r="A134" s="23" t="str">
        <x:v>Ingredients</x:v>
      </x:c>
      <x:c r="B134" s="23" t="str">
        <x:v>kahlua</x:v>
      </x:c>
      <x:c r="C134" s="23" t="str">
        <x:v>description_ko</x:v>
      </x:c>
      <x:c r="D134" s="23" t="str">
        <x:v>description_en</x:v>
      </x:c>
      <x:c r="E134" s="23" t="str">
        <x:f>Ingredients!L24</x:f>
        <x:v>커피를 술로 번역한 것.</x:v>
      </x:c>
      <x:c r="F134" s="23" t="str">
        <x:f>Ingredients!M24</x:f>
        <x:v>Coffee, translated into liquor.</x:v>
      </x:c>
      <x:c r="G134" s="23" t="str">
        <x:f>IF(AND(E134&lt;&gt;"",F134&lt;&gt;""),"OK","MISSING")</x:f>
        <x:v>OK</x:v>
      </x:c>
    </x:row>
    <x:row r="135" ht="15" hidden="0" customHeight="1">
      <x:c r="A135" s="23" t="str">
        <x:v>Ingredients</x:v>
      </x:c>
      <x:c r="B135" s="23" t="str">
        <x:v>milk</x:v>
      </x:c>
      <x:c r="C135" s="23" t="str">
        <x:v>name_ko</x:v>
      </x:c>
      <x:c r="D135" s="23" t="str">
        <x:v>name_en</x:v>
      </x:c>
      <x:c r="E135" s="23" t="str">
        <x:f>Ingredients!D25</x:f>
        <x:v>우유</x:v>
      </x:c>
      <x:c r="F135" s="23" t="str">
        <x:f>Ingredients!E25</x:f>
        <x:v>Milk</x:v>
      </x:c>
      <x:c r="G135" s="23" t="str">
        <x:f>IF(AND(E135&lt;&gt;"",F135&lt;&gt;""),"OK","MISSING")</x:f>
        <x:v>OK</x:v>
      </x:c>
    </x:row>
    <x:row r="136" ht="21.600000381469727" hidden="0" customHeight="1">
      <x:c r="A136" s="23" t="str">
        <x:v>Ingredients</x:v>
      </x:c>
      <x:c r="B136" s="23" t="str">
        <x:v>milk</x:v>
      </x:c>
      <x:c r="C136" s="23" t="str">
        <x:v>description_ko</x:v>
      </x:c>
      <x:c r="D136" s="23" t="str">
        <x:v>description_en</x:v>
      </x:c>
      <x:c r="E136" s="23" t="str">
        <x:f>Ingredients!L25</x:f>
        <x:v>고양이와 초보 손님의 선택.</x:v>
      </x:c>
      <x:c r="F136" s="23" t="str">
        <x:f>Ingredients!M25</x:f>
        <x:v>The choice of cats and cautious customers.</x:v>
      </x:c>
      <x:c r="G136" s="23" t="str">
        <x:f>IF(AND(E136&lt;&gt;"",F136&lt;&gt;""),"OK","MISSING")</x:f>
        <x:v>OK</x:v>
      </x:c>
    </x:row>
    <x:row r="137" ht="15" hidden="0" customHeight="1">
      <x:c r="A137" s="23" t="str">
        <x:v>Ingredients</x:v>
      </x:c>
      <x:c r="B137" s="23" t="str">
        <x:v>brandy</x:v>
      </x:c>
      <x:c r="C137" s="23" t="str">
        <x:v>name_ko</x:v>
      </x:c>
      <x:c r="D137" s="23" t="str">
        <x:v>name_en</x:v>
      </x:c>
      <x:c r="E137" s="23" t="str">
        <x:f>Ingredients!D26</x:f>
        <x:v>브랜디</x:v>
      </x:c>
      <x:c r="F137" s="23" t="str">
        <x:f>Ingredients!E26</x:f>
        <x:v>Brandy</x:v>
      </x:c>
      <x:c r="G137" s="23" t="str">
        <x:f>IF(AND(E137&lt;&gt;"",F137&lt;&gt;""),"OK","MISSING")</x:f>
        <x:v>OK</x:v>
      </x:c>
    </x:row>
    <x:row r="138" ht="21.600000381469727" hidden="0" customHeight="1">
      <x:c r="A138" s="23" t="str">
        <x:v>Ingredients</x:v>
      </x:c>
      <x:c r="B138" s="23" t="str">
        <x:v>brandy</x:v>
      </x:c>
      <x:c r="C138" s="23" t="str">
        <x:v>description_ko</x:v>
      </x:c>
      <x:c r="D138" s="23" t="str">
        <x:v>description_en</x:v>
      </x:c>
      <x:c r="E138" s="23" t="str">
        <x:f>Ingredients!L26</x:f>
        <x:v>와인을 증류해 숙성한, 따뜻하고 깊은 향의 증류주.</x:v>
      </x:c>
      <x:c r="F138" s="23" t="str">
        <x:f>Ingredients!M26</x:f>
        <x:v>A wine spirit distilled and aged for a warm, deep aroma.</x:v>
      </x:c>
      <x:c r="G138" s="23" t="str">
        <x:f>IF(AND(E138&lt;&gt;"",F138&lt;&gt;""),"OK","MISSING")</x:f>
        <x:v>OK</x:v>
      </x:c>
    </x:row>
    <x:row r="139" ht="15" hidden="0" customHeight="1">
      <x:c r="A139" s="23" t="str">
        <x:v>Ingredients</x:v>
      </x:c>
      <x:c r="B139" s="23" t="str">
        <x:v>amaretto</x:v>
      </x:c>
      <x:c r="C139" s="23" t="str">
        <x:v>name_ko</x:v>
      </x:c>
      <x:c r="D139" s="23" t="str">
        <x:v>name_en</x:v>
      </x:c>
      <x:c r="E139" s="23" t="str">
        <x:f>Ingredients!D27</x:f>
        <x:v>아마레토</x:v>
      </x:c>
      <x:c r="F139" s="23" t="str">
        <x:f>Ingredients!E27</x:f>
        <x:v>Amaretto</x:v>
      </x:c>
      <x:c r="G139" s="23" t="str">
        <x:f>IF(AND(E139&lt;&gt;"",F139&lt;&gt;""),"OK","MISSING")</x:f>
        <x:v>OK</x:v>
      </x:c>
    </x:row>
    <x:row r="140" ht="21.600000381469727" hidden="0" customHeight="1">
      <x:c r="A140" s="23" t="str">
        <x:v>Ingredients</x:v>
      </x:c>
      <x:c r="B140" s="23" t="str">
        <x:v>amaretto</x:v>
      </x:c>
      <x:c r="C140" s="23" t="str">
        <x:v>description_ko</x:v>
      </x:c>
      <x:c r="D140" s="23" t="str">
        <x:v>description_en</x:v>
      </x:c>
      <x:c r="E140" s="23" t="str">
        <x:f>Ingredients!L27</x:f>
        <x:v>아몬드를 떠올리게 하는 부드럽고 달콤한 리큐르.</x:v>
      </x:c>
      <x:c r="F140" s="23" t="str">
        <x:f>Ingredients!M27</x:f>
        <x:v>A smooth, sweet liqueur with an almond-like aroma.</x:v>
      </x:c>
      <x:c r="G140" s="23" t="str">
        <x:f>IF(AND(E140&lt;&gt;"",F140&lt;&gt;""),"OK","MISSING")</x:f>
        <x:v>OK</x:v>
      </x:c>
    </x:row>
    <x:row r="141" ht="15" hidden="0" customHeight="1">
      <x:c r="A141" s="23" t="str">
        <x:v>Ingredients</x:v>
      </x:c>
      <x:c r="B141" s="23" t="str">
        <x:v>campari</x:v>
      </x:c>
      <x:c r="C141" s="23" t="str">
        <x:v>name_ko</x:v>
      </x:c>
      <x:c r="D141" s="23" t="str">
        <x:v>name_en</x:v>
      </x:c>
      <x:c r="E141" s="23" t="str">
        <x:f>Ingredients!D28</x:f>
        <x:v>캄파리</x:v>
      </x:c>
      <x:c r="F141" s="23" t="str">
        <x:f>Ingredients!E28</x:f>
        <x:v>Campari</x:v>
      </x:c>
      <x:c r="G141" s="23" t="str">
        <x:f>IF(AND(E141&lt;&gt;"",F141&lt;&gt;""),"OK","MISSING")</x:f>
        <x:v>OK</x:v>
      </x:c>
    </x:row>
    <x:row r="142" ht="21.600000381469727" hidden="0" customHeight="1">
      <x:c r="A142" s="23" t="str">
        <x:v>Ingredients</x:v>
      </x:c>
      <x:c r="B142" s="23" t="str">
        <x:v>campari</x:v>
      </x:c>
      <x:c r="C142" s="23" t="str">
        <x:v>description_ko</x:v>
      </x:c>
      <x:c r="D142" s="23" t="str">
        <x:v>description_en</x:v>
      </x:c>
      <x:c r="E142" s="23" t="str">
        <x:f>Ingredients!L28</x:f>
        <x:v>선명한 붉은색과 강한 쓴맛을 지닌 비터 리큐르.</x:v>
      </x:c>
      <x:c r="F142" s="23" t="str">
        <x:f>Ingredients!M28</x:f>
        <x:v>A vivid red bitter liqueur with a pronounced herbal bite.</x:v>
      </x:c>
      <x:c r="G142" s="23" t="str">
        <x:f>IF(AND(E142&lt;&gt;"",F142&lt;&gt;""),"OK","MISSING")</x:f>
        <x:v>OK</x:v>
      </x:c>
    </x:row>
    <x:row r="143" ht="21.600000381469727" hidden="0" customHeight="1">
      <x:c r="A143" s="23" t="str">
        <x:v>Ingredients</x:v>
      </x:c>
      <x:c r="B143" s="23" t="str">
        <x:v>blue_curacao</x:v>
      </x:c>
      <x:c r="C143" s="23" t="str">
        <x:v>name_ko</x:v>
      </x:c>
      <x:c r="D143" s="23" t="str">
        <x:v>name_en</x:v>
      </x:c>
      <x:c r="E143" s="23" t="str">
        <x:f>Ingredients!D29</x:f>
        <x:v>블루큐라소</x:v>
      </x:c>
      <x:c r="F143" s="23" t="str">
        <x:f>Ingredients!E29</x:f>
        <x:v>Blue Curaçao</x:v>
      </x:c>
      <x:c r="G143" s="23" t="str">
        <x:f>IF(AND(E143&lt;&gt;"",F143&lt;&gt;""),"OK","MISSING")</x:f>
        <x:v>OK</x:v>
      </x:c>
    </x:row>
    <x:row r="144" ht="21.600000381469727" hidden="0" customHeight="1">
      <x:c r="A144" s="23" t="str">
        <x:v>Ingredients</x:v>
      </x:c>
      <x:c r="B144" s="23" t="str">
        <x:v>blue_curacao</x:v>
      </x:c>
      <x:c r="C144" s="23" t="str">
        <x:v>description_ko</x:v>
      </x:c>
      <x:c r="D144" s="23" t="str">
        <x:v>description_en</x:v>
      </x:c>
      <x:c r="E144" s="23" t="str">
        <x:f>Ingredients!L29</x:f>
        <x:v>오렌지 향과 푸른색으로 잔의 인상을 바꾸는 리큐르.</x:v>
      </x:c>
      <x:c r="F144" s="23" t="str">
        <x:f>Ingredients!M29</x:f>
        <x:v>An orange-flavored blue liqueur that transforms a drink's appearance.</x:v>
      </x:c>
      <x:c r="G144" s="23" t="str">
        <x:f>IF(AND(E144&lt;&gt;"",F144&lt;&gt;""),"OK","MISSING")</x:f>
        <x:v>OK</x:v>
      </x:c>
    </x:row>
    <x:row r="145" ht="15" hidden="0" customHeight="1">
      <x:c r="A145" s="23" t="str">
        <x:v>Ingredients</x:v>
      </x:c>
      <x:c r="B145" s="23" t="str">
        <x:v>malibu</x:v>
      </x:c>
      <x:c r="C145" s="23" t="str">
        <x:v>name_ko</x:v>
      </x:c>
      <x:c r="D145" s="23" t="str">
        <x:v>name_en</x:v>
      </x:c>
      <x:c r="E145" s="23" t="str">
        <x:f>Ingredients!D30</x:f>
        <x:v>말리부</x:v>
      </x:c>
      <x:c r="F145" s="23" t="str">
        <x:f>Ingredients!E30</x:f>
        <x:v>Malibu</x:v>
      </x:c>
      <x:c r="G145" s="23" t="str">
        <x:f>IF(AND(E145&lt;&gt;"",F145&lt;&gt;""),"OK","MISSING")</x:f>
        <x:v>OK</x:v>
      </x:c>
    </x:row>
    <x:row r="146" ht="21.600000381469727" hidden="0" customHeight="1">
      <x:c r="A146" s="23" t="str">
        <x:v>Ingredients</x:v>
      </x:c>
      <x:c r="B146" s="23" t="str">
        <x:v>malibu</x:v>
      </x:c>
      <x:c r="C146" s="23" t="str">
        <x:v>description_ko</x:v>
      </x:c>
      <x:c r="D146" s="23" t="str">
        <x:v>description_en</x:v>
      </x:c>
      <x:c r="E146" s="23" t="str">
        <x:f>Ingredients!L30</x:f>
        <x:v>코코넛 향이 선명한 달콤한 럼 베이스 리큐르.</x:v>
      </x:c>
      <x:c r="F146" s="23" t="str">
        <x:f>Ingredients!M30</x:f>
        <x:v>A sweet rum-based liqueur with a distinct coconut aroma.</x:v>
      </x:c>
      <x:c r="G146" s="23" t="str">
        <x:f>IF(AND(E146&lt;&gt;"",F146&lt;&gt;""),"OK","MISSING")</x:f>
        <x:v>OK</x:v>
      </x:c>
    </x:row>
    <x:row r="147" ht="21.600000381469727" hidden="0" customHeight="1">
      <x:c r="A147" s="23" t="str">
        <x:v>Ingredients</x:v>
      </x:c>
      <x:c r="B147" s="23" t="str">
        <x:v>melon_liqueur</x:v>
      </x:c>
      <x:c r="C147" s="23" t="str">
        <x:v>name_ko</x:v>
      </x:c>
      <x:c r="D147" s="23" t="str">
        <x:v>name_en</x:v>
      </x:c>
      <x:c r="E147" s="23" t="str">
        <x:f>Ingredients!D31</x:f>
        <x:v>멜론리큐르</x:v>
      </x:c>
      <x:c r="F147" s="23" t="str">
        <x:f>Ingredients!E31</x:f>
        <x:v>Melon Liqueur</x:v>
      </x:c>
      <x:c r="G147" s="23" t="str">
        <x:f>IF(AND(E147&lt;&gt;"",F147&lt;&gt;""),"OK","MISSING")</x:f>
        <x:v>OK</x:v>
      </x:c>
    </x:row>
    <x:row r="148" ht="21.600000381469727" hidden="0" customHeight="1">
      <x:c r="A148" s="23" t="str">
        <x:v>Ingredients</x:v>
      </x:c>
      <x:c r="B148" s="23" t="str">
        <x:v>melon_liqueur</x:v>
      </x:c>
      <x:c r="C148" s="23" t="str">
        <x:v>description_ko</x:v>
      </x:c>
      <x:c r="D148" s="23" t="str">
        <x:v>description_en</x:v>
      </x:c>
      <x:c r="E148" s="23" t="str">
        <x:f>Ingredients!L31</x:f>
        <x:v>달콤한 멜론 향과 초록빛을 더하는 리큐르.</x:v>
      </x:c>
      <x:c r="F148" s="23" t="str">
        <x:f>Ingredients!M31</x:f>
        <x:v>A sweet green liqueur with a pronounced melon aroma.</x:v>
      </x:c>
      <x:c r="G148" s="23" t="str">
        <x:f>IF(AND(E148&lt;&gt;"",F148&lt;&gt;""),"OK","MISSING")</x:f>
        <x:v>OK</x:v>
      </x:c>
    </x:row>
    <x:row r="149" ht="21.600000381469727" hidden="0" customHeight="1">
      <x:c r="A149" s="23" t="str">
        <x:v>Ingredients</x:v>
      </x:c>
      <x:c r="B149" s="23" t="str">
        <x:v>banana_liqueur</x:v>
      </x:c>
      <x:c r="C149" s="23" t="str">
        <x:v>name_ko</x:v>
      </x:c>
      <x:c r="D149" s="23" t="str">
        <x:v>name_en</x:v>
      </x:c>
      <x:c r="E149" s="23" t="str">
        <x:f>Ingredients!D32</x:f>
        <x:v>바나나리큐르</x:v>
      </x:c>
      <x:c r="F149" s="23" t="str">
        <x:f>Ingredients!E32</x:f>
        <x:v>Banana Liqueur</x:v>
      </x:c>
      <x:c r="G149" s="23" t="str">
        <x:f>IF(AND(E149&lt;&gt;"",F149&lt;&gt;""),"OK","MISSING")</x:f>
        <x:v>OK</x:v>
      </x:c>
    </x:row>
    <x:row r="150" ht="21.600000381469727" hidden="0" customHeight="1">
      <x:c r="A150" s="23" t="str">
        <x:v>Ingredients</x:v>
      </x:c>
      <x:c r="B150" s="23" t="str">
        <x:v>banana_liqueur</x:v>
      </x:c>
      <x:c r="C150" s="23" t="str">
        <x:v>description_ko</x:v>
      </x:c>
      <x:c r="D150" s="23" t="str">
        <x:v>description_en</x:v>
      </x:c>
      <x:c r="E150" s="23" t="str">
        <x:f>Ingredients!L32</x:f>
        <x:v>익은 바나나의 달콤한 향을 더하는 리큐르.</x:v>
      </x:c>
      <x:c r="F150" s="23" t="str">
        <x:f>Ingredients!M32</x:f>
        <x:v>A sweet liqueur that adds the aroma of ripe banana.</x:v>
      </x:c>
      <x:c r="G150" s="23" t="str">
        <x:f>IF(AND(E150&lt;&gt;"",F150&lt;&gt;""),"OK","MISSING")</x:f>
        <x:v>OK</x:v>
      </x:c>
    </x:row>
    <x:row r="151" ht="21.600000381469727" hidden="0" customHeight="1">
      <x:c r="A151" s="23" t="str">
        <x:v>Ingredients</x:v>
      </x:c>
      <x:c r="B151" s="23" t="str">
        <x:v>peach_brandy</x:v>
      </x:c>
      <x:c r="C151" s="23" t="str">
        <x:v>name_ko</x:v>
      </x:c>
      <x:c r="D151" s="23" t="str">
        <x:v>name_en</x:v>
      </x:c>
      <x:c r="E151" s="23" t="str">
        <x:f>Ingredients!D33</x:f>
        <x:v>피치브랜디</x:v>
      </x:c>
      <x:c r="F151" s="23" t="str">
        <x:f>Ingredients!E33</x:f>
        <x:v>Peach Brandy</x:v>
      </x:c>
      <x:c r="G151" s="23" t="str">
        <x:f>IF(AND(E151&lt;&gt;"",F151&lt;&gt;""),"OK","MISSING")</x:f>
        <x:v>OK</x:v>
      </x:c>
    </x:row>
    <x:row r="152" ht="21.600000381469727" hidden="0" customHeight="1">
      <x:c r="A152" s="23" t="str">
        <x:v>Ingredients</x:v>
      </x:c>
      <x:c r="B152" s="23" t="str">
        <x:v>peach_brandy</x:v>
      </x:c>
      <x:c r="C152" s="23" t="str">
        <x:v>description_ko</x:v>
      </x:c>
      <x:c r="D152" s="23" t="str">
        <x:v>description_en</x:v>
      </x:c>
      <x:c r="E152" s="23" t="str">
        <x:f>Ingredients!L33</x:f>
        <x:v>복숭아 향과 은은한 단맛을 지닌 과일 브랜디.</x:v>
      </x:c>
      <x:c r="F152" s="23" t="str">
        <x:f>Ingredients!M33</x:f>
        <x:v>A fruit brandy with peach aroma and gentle sweetness.</x:v>
      </x:c>
      <x:c r="G152" s="23" t="str">
        <x:f>IF(AND(E152&lt;&gt;"",F152&lt;&gt;""),"OK","MISSING")</x:f>
        <x:v>OK</x:v>
      </x:c>
    </x:row>
    <x:row r="153" ht="21.600000381469727" hidden="0" customHeight="1">
      <x:c r="A153" s="23" t="str">
        <x:v>Ingredients</x:v>
      </x:c>
      <x:c r="B153" s="23" t="str">
        <x:v>green_creme_de_menthe</x:v>
      </x:c>
      <x:c r="C153" s="23" t="str">
        <x:v>name_ko</x:v>
      </x:c>
      <x:c r="D153" s="23" t="str">
        <x:v>name_en</x:v>
      </x:c>
      <x:c r="E153" s="23" t="str">
        <x:f>Ingredients!D34</x:f>
        <x:v>그린 크렘 드 멘트</x:v>
      </x:c>
      <x:c r="F153" s="23" t="str">
        <x:f>Ingredients!E34</x:f>
        <x:v>Green Crème de Menthe</x:v>
      </x:c>
      <x:c r="G153" s="23" t="str">
        <x:f>IF(AND(E153&lt;&gt;"",F153&lt;&gt;""),"OK","MISSING")</x:f>
        <x:v>OK</x:v>
      </x:c>
    </x:row>
    <x:row r="154" ht="21.600000381469727" hidden="0" customHeight="1">
      <x:c r="A154" s="23" t="str">
        <x:v>Ingredients</x:v>
      </x:c>
      <x:c r="B154" s="23" t="str">
        <x:v>green_creme_de_menthe</x:v>
      </x:c>
      <x:c r="C154" s="23" t="str">
        <x:v>description_ko</x:v>
      </x:c>
      <x:c r="D154" s="23" t="str">
        <x:v>description_en</x:v>
      </x:c>
      <x:c r="E154" s="23" t="str">
        <x:f>Ingredients!L34</x:f>
        <x:v>차가운 민트 향과 초록빛을 더하는 리큐르.</x:v>
      </x:c>
      <x:c r="F154" s="23" t="str">
        <x:f>Ingredients!M34</x:f>
        <x:v>A green liqueur that adds a cool mint aroma.</x:v>
      </x:c>
      <x:c r="G154" s="23" t="str">
        <x:f>IF(AND(E154&lt;&gt;"",F154&lt;&gt;""),"OK","MISSING")</x:f>
        <x:v>OK</x:v>
      </x:c>
    </x:row>
    <x:row r="155" ht="21.600000381469727" hidden="0" customHeight="1">
      <x:c r="A155" s="23" t="str">
        <x:v>Ingredients</x:v>
      </x:c>
      <x:c r="B155" s="23" t="str">
        <x:v>white_creme_de_cacao</x:v>
      </x:c>
      <x:c r="C155" s="23" t="str">
        <x:v>name_ko</x:v>
      </x:c>
      <x:c r="D155" s="23" t="str">
        <x:v>name_en</x:v>
      </x:c>
      <x:c r="E155" s="23" t="str">
        <x:f>Ingredients!D35</x:f>
        <x:v>화이트 크렘 드 카카오</x:v>
      </x:c>
      <x:c r="F155" s="23" t="str">
        <x:f>Ingredients!E35</x:f>
        <x:v>White Crème de Cacao</x:v>
      </x:c>
      <x:c r="G155" s="23" t="str">
        <x:f>IF(AND(E155&lt;&gt;"",F155&lt;&gt;""),"OK","MISSING")</x:f>
        <x:v>OK</x:v>
      </x:c>
    </x:row>
    <x:row r="156" ht="21.600000381469727" hidden="0" customHeight="1">
      <x:c r="A156" s="23" t="str">
        <x:v>Ingredients</x:v>
      </x:c>
      <x:c r="B156" s="23" t="str">
        <x:v>white_creme_de_cacao</x:v>
      </x:c>
      <x:c r="C156" s="23" t="str">
        <x:v>description_ko</x:v>
      </x:c>
      <x:c r="D156" s="23" t="str">
        <x:v>description_en</x:v>
      </x:c>
      <x:c r="E156" s="23" t="str">
        <x:f>Ingredients!L35</x:f>
        <x:v>색을 흐리지 않고 카카오의 단맛을 더하는 리큐르.</x:v>
      </x:c>
      <x:c r="F156" s="23" t="str">
        <x:f>Ingredients!M35</x:f>
        <x:v>A clear cacao liqueur that adds sweetness without darkening the drink.</x:v>
      </x:c>
      <x:c r="G156" s="23" t="str">
        <x:f>IF(AND(E156&lt;&gt;"",F156&lt;&gt;""),"OK","MISSING")</x:f>
        <x:v>OK</x:v>
      </x:c>
    </x:row>
    <x:row r="157" ht="21.600000381469727" hidden="0" customHeight="1">
      <x:c r="A157" s="23" t="str">
        <x:v>Ingredients</x:v>
      </x:c>
      <x:c r="B157" s="23" t="str">
        <x:v>pineapple_juice</x:v>
      </x:c>
      <x:c r="C157" s="23" t="str">
        <x:v>name_ko</x:v>
      </x:c>
      <x:c r="D157" s="23" t="str">
        <x:v>name_en</x:v>
      </x:c>
      <x:c r="E157" s="23" t="str">
        <x:f>Ingredients!D36</x:f>
        <x:v>파인애플주스</x:v>
      </x:c>
      <x:c r="F157" s="23" t="str">
        <x:f>Ingredients!E36</x:f>
        <x:v>Pineapple Juice</x:v>
      </x:c>
      <x:c r="G157" s="23" t="str">
        <x:f>IF(AND(E157&lt;&gt;"",F157&lt;&gt;""),"OK","MISSING")</x:f>
        <x:v>OK</x:v>
      </x:c>
    </x:row>
    <x:row r="158" ht="21.600000381469727" hidden="0" customHeight="1">
      <x:c r="A158" s="23" t="str">
        <x:v>Ingredients</x:v>
      </x:c>
      <x:c r="B158" s="23" t="str">
        <x:v>pineapple_juice</x:v>
      </x:c>
      <x:c r="C158" s="23" t="str">
        <x:v>description_ko</x:v>
      </x:c>
      <x:c r="D158" s="23" t="str">
        <x:v>description_en</x:v>
      </x:c>
      <x:c r="E158" s="23" t="str">
        <x:f>Ingredients!L36</x:f>
        <x:v>열대과일의 산미와 달콤함을 더하는 주스.</x:v>
      </x:c>
      <x:c r="F158" s="23" t="str">
        <x:f>Ingredients!M36</x:f>
        <x:v>A juice that adds tropical acidity and sweetness.</x:v>
      </x:c>
      <x:c r="G158" s="23" t="str">
        <x:f>IF(AND(E158&lt;&gt;"",F158&lt;&gt;""),"OK","MISSING")</x:f>
        <x:v>OK</x:v>
      </x:c>
    </x:row>
    <x:row r="159" ht="15" hidden="0" customHeight="1">
      <x:c r="A159" s="23" t="str">
        <x:v>Ingredients</x:v>
      </x:c>
      <x:c r="B159" s="23" t="str">
        <x:v>cream</x:v>
      </x:c>
      <x:c r="C159" s="23" t="str">
        <x:v>name_ko</x:v>
      </x:c>
      <x:c r="D159" s="23" t="str">
        <x:v>name_en</x:v>
      </x:c>
      <x:c r="E159" s="23" t="str">
        <x:f>Ingredients!D37</x:f>
        <x:v>크림</x:v>
      </x:c>
      <x:c r="F159" s="23" t="str">
        <x:f>Ingredients!E37</x:f>
        <x:v>Cream</x:v>
      </x:c>
      <x:c r="G159" s="23" t="str">
        <x:f>IF(AND(E159&lt;&gt;"",F159&lt;&gt;""),"OK","MISSING")</x:f>
        <x:v>OK</x:v>
      </x:c>
    </x:row>
    <x:row r="160" ht="21.600000381469727" hidden="0" customHeight="1">
      <x:c r="A160" s="23" t="str">
        <x:v>Ingredients</x:v>
      </x:c>
      <x:c r="B160" s="23" t="str">
        <x:v>cream</x:v>
      </x:c>
      <x:c r="C160" s="23" t="str">
        <x:v>description_ko</x:v>
      </x:c>
      <x:c r="D160" s="23" t="str">
        <x:v>description_en</x:v>
      </x:c>
      <x:c r="E160" s="23" t="str">
        <x:f>Ingredients!L37</x:f>
        <x:v>칵테일에 질감과 부드러운 풍미를 더하는 크림.</x:v>
      </x:c>
      <x:c r="F160" s="23" t="str">
        <x:f>Ingredients!M37</x:f>
        <x:v>Cream that adds body and a smooth flavor to cocktails.</x:v>
      </x:c>
      <x:c r="G160" s="23" t="str">
        <x:f>IF(AND(E160&lt;&gt;"",F160&lt;&gt;""),"OK","MISSING")</x:f>
        <x:v>OK</x:v>
      </x:c>
    </x:row>
    <x:row r="161" ht="15" hidden="0" customHeight="1">
      <x:c r="A161" s="23" t="str">
        <x:v>Ingredients</x:v>
      </x:c>
      <x:c r="B161" s="23" t="str">
        <x:v>coconut_milk</x:v>
      </x:c>
      <x:c r="C161" s="23" t="str">
        <x:v>name_ko</x:v>
      </x:c>
      <x:c r="D161" s="23" t="str">
        <x:v>name_en</x:v>
      </x:c>
      <x:c r="E161" s="23" t="str">
        <x:f>Ingredients!D38</x:f>
        <x:v>코코넛우유</x:v>
      </x:c>
      <x:c r="F161" s="23" t="str">
        <x:f>Ingredients!E38</x:f>
        <x:v>Coconut Milk</x:v>
      </x:c>
      <x:c r="G161" s="23" t="str">
        <x:f>IF(AND(E161&lt;&gt;"",F161&lt;&gt;""),"OK","MISSING")</x:f>
        <x:v>OK</x:v>
      </x:c>
    </x:row>
    <x:row r="162" ht="21.600000381469727" hidden="0" customHeight="1">
      <x:c r="A162" s="23" t="str">
        <x:v>Ingredients</x:v>
      </x:c>
      <x:c r="B162" s="23" t="str">
        <x:v>coconut_milk</x:v>
      </x:c>
      <x:c r="C162" s="23" t="str">
        <x:v>description_ko</x:v>
      </x:c>
      <x:c r="D162" s="23" t="str">
        <x:v>description_en</x:v>
      </x:c>
      <x:c r="E162" s="23" t="str">
        <x:f>Ingredients!L38</x:f>
        <x:v>코코넛의 고소함과 부드러운 질감을 더하는 재료.</x:v>
      </x:c>
      <x:c r="F162" s="23" t="str">
        <x:f>Ingredients!M38</x:f>
        <x:v>An ingredient that adds coconut richness and a smooth texture.</x:v>
      </x:c>
      <x:c r="G162" s="23" t="str">
        <x:f>IF(AND(E162&lt;&gt;"",F162&lt;&gt;""),"OK","MISSING")</x:f>
        <x:v>OK</x:v>
      </x:c>
    </x:row>
    <x:row r="163" ht="15" hidden="0" customHeight="1">
      <x:c r="A163" s="23" t="str">
        <x:v>Ingredients</x:v>
      </x:c>
      <x:c r="B163" s="23" t="str">
        <x:v>coffee</x:v>
      </x:c>
      <x:c r="C163" s="23" t="str">
        <x:v>name_ko</x:v>
      </x:c>
      <x:c r="D163" s="23" t="str">
        <x:v>name_en</x:v>
      </x:c>
      <x:c r="E163" s="23" t="str">
        <x:f>Ingredients!D39</x:f>
        <x:v>커피</x:v>
      </x:c>
      <x:c r="F163" s="23" t="str">
        <x:f>Ingredients!E39</x:f>
        <x:v>Coffee</x:v>
      </x:c>
      <x:c r="G163" s="23" t="str">
        <x:f>IF(AND(E163&lt;&gt;"",F163&lt;&gt;""),"OK","MISSING")</x:f>
        <x:v>OK</x:v>
      </x:c>
    </x:row>
    <x:row r="164" ht="21.600000381469727" hidden="0" customHeight="1">
      <x:c r="A164" s="23" t="str">
        <x:v>Ingredients</x:v>
      </x:c>
      <x:c r="B164" s="23" t="str">
        <x:v>coffee</x:v>
      </x:c>
      <x:c r="C164" s="23" t="str">
        <x:v>description_ko</x:v>
      </x:c>
      <x:c r="D164" s="23" t="str">
        <x:v>description_en</x:v>
      </x:c>
      <x:c r="E164" s="23" t="str">
        <x:f>Ingredients!L39</x:f>
        <x:v>쓴맛과 볶은 향으로 칵테일의 중심을 잡는 커피.</x:v>
      </x:c>
      <x:c r="F164" s="23" t="str">
        <x:f>Ingredients!M39</x:f>
        <x:v>Coffee that anchors a cocktail with bitterness and roasted aroma.</x:v>
      </x:c>
      <x:c r="G164" s="23" t="str">
        <x:f>IF(AND(E164&lt;&gt;"",F164&lt;&gt;""),"OK","MISSING")</x:f>
        <x:v>OK</x:v>
      </x:c>
    </x:row>
    <x:row r="165" ht="21.600000381469727" hidden="0" customHeight="1">
      <x:c r="A165" s="23" t="str">
        <x:v>Glasses</x:v>
      </x:c>
      <x:c r="B165" s="23" t="str">
        <x:v>cocktail_glass</x:v>
      </x:c>
      <x:c r="C165" s="23" t="str">
        <x:v>name_ko</x:v>
      </x:c>
      <x:c r="D165" s="23" t="str">
        <x:v>name_en</x:v>
      </x:c>
      <x:c r="E165" s="23" t="str">
        <x:f>Glasses!B2</x:f>
        <x:v>칵테일잔</x:v>
      </x:c>
      <x:c r="F165" s="23" t="str">
        <x:f>Glasses!C2</x:f>
        <x:v>Cocktail Glass</x:v>
      </x:c>
      <x:c r="G165" s="23" t="str">
        <x:f>IF(AND(E165&lt;&gt;"",F165&lt;&gt;""),"OK","MISSING")</x:f>
        <x:v>OK</x:v>
      </x:c>
    </x:row>
    <x:row r="166" ht="21.600000381469727" hidden="0" customHeight="1">
      <x:c r="A166" s="23" t="str">
        <x:v>Glasses</x:v>
      </x:c>
      <x:c r="B166" s="23" t="str">
        <x:v>long_drink_glass</x:v>
      </x:c>
      <x:c r="C166" s="23" t="str">
        <x:v>name_ko</x:v>
      </x:c>
      <x:c r="D166" s="23" t="str">
        <x:v>name_en</x:v>
      </x:c>
      <x:c r="E166" s="23" t="str">
        <x:f>Glasses!B3</x:f>
        <x:v>롱드링크잔</x:v>
      </x:c>
      <x:c r="F166" s="23" t="str">
        <x:f>Glasses!C3</x:f>
        <x:v>Long Drink Glass</x:v>
      </x:c>
      <x:c r="G166" s="23" t="str">
        <x:f>IF(AND(E166&lt;&gt;"",F166&lt;&gt;""),"OK","MISSING")</x:f>
        <x:v>OK</x:v>
      </x:c>
    </x:row>
    <x:row r="167" ht="21.600000381469727" hidden="0" customHeight="1">
      <x:c r="A167" s="23" t="str">
        <x:v>Glasses</x:v>
      </x:c>
      <x:c r="B167" s="23" t="str">
        <x:v>old_fashioned_glass</x:v>
      </x:c>
      <x:c r="C167" s="23" t="str">
        <x:v>name_ko</x:v>
      </x:c>
      <x:c r="D167" s="23" t="str">
        <x:v>name_en</x:v>
      </x:c>
      <x:c r="E167" s="23" t="str">
        <x:f>Glasses!B4</x:f>
        <x:v>올드패션드잔</x:v>
      </x:c>
      <x:c r="F167" s="23" t="str">
        <x:f>Glasses!C4</x:f>
        <x:v>Old Fashioned Glass</x:v>
      </x:c>
      <x:c r="G167" s="23" t="str">
        <x:f>IF(AND(E167&lt;&gt;"",F167&lt;&gt;""),"OK","MISSING")</x:f>
        <x:v>OK</x:v>
      </x:c>
    </x:row>
    <x:row r="168" ht="15" hidden="0" customHeight="1">
      <x:c r="A168" s="23" t="str">
        <x:v>Glasses</x:v>
      </x:c>
      <x:c r="B168" s="23" t="str">
        <x:v>wine_glass</x:v>
      </x:c>
      <x:c r="C168" s="23" t="str">
        <x:v>name_ko</x:v>
      </x:c>
      <x:c r="D168" s="23" t="str">
        <x:v>name_en</x:v>
      </x:c>
      <x:c r="E168" s="23" t="str">
        <x:f>Glasses!B5</x:f>
        <x:v>와인잔</x:v>
      </x:c>
      <x:c r="F168" s="23" t="str">
        <x:f>Glasses!C5</x:f>
        <x:v>Wine Glass</x:v>
      </x:c>
      <x:c r="G168" s="23" t="str">
        <x:f>IF(AND(E168&lt;&gt;"",F168&lt;&gt;""),"OK","MISSING")</x:f>
        <x:v>OK</x:v>
      </x:c>
    </x:row>
    <x:row r="169" ht="15" hidden="0" customHeight="1">
      <x:c r="A169" s="23" t="str">
        <x:v>Glasses</x:v>
      </x:c>
      <x:c r="B169" s="23" t="str">
        <x:v>beer_mug</x:v>
      </x:c>
      <x:c r="C169" s="23" t="str">
        <x:v>name_ko</x:v>
      </x:c>
      <x:c r="D169" s="23" t="str">
        <x:v>name_en</x:v>
      </x:c>
      <x:c r="E169" s="23" t="str">
        <x:f>Glasses!B6</x:f>
        <x:v>맥주잔</x:v>
      </x:c>
      <x:c r="F169" s="23" t="str">
        <x:f>Glasses!C6</x:f>
        <x:v>Beer Mug</x:v>
      </x:c>
      <x:c r="G169" s="23" t="str">
        <x:f>IF(AND(E169&lt;&gt;"",F169&lt;&gt;""),"OK","MISSING")</x:f>
        <x:v>OK</x:v>
      </x:c>
    </x:row>
    <x:row r="170" ht="15" hidden="0" customHeight="1">
      <x:c r="A170" s="23" t="str">
        <x:v>Glasses</x:v>
      </x:c>
      <x:c r="B170" s="23" t="str">
        <x:v>sour_glass</x:v>
      </x:c>
      <x:c r="C170" s="23" t="str">
        <x:v>name_ko</x:v>
      </x:c>
      <x:c r="D170" s="23" t="str">
        <x:v>name_en</x:v>
      </x:c>
      <x:c r="E170" s="23" t="str">
        <x:f>Glasses!B7</x:f>
        <x:v>사워잔</x:v>
      </x:c>
      <x:c r="F170" s="23" t="str">
        <x:f>Glasses!C7</x:f>
        <x:v>Sour Glass</x:v>
      </x:c>
      <x:c r="G170" s="23" t="str">
        <x:f>IF(AND(E170&lt;&gt;"",F170&lt;&gt;""),"OK","MISSING")</x:f>
        <x:v>OK</x:v>
      </x:c>
    </x:row>
    <x:row r="171" ht="15" hidden="0" customHeight="1">
      <x:c r="A171" s="23" t="str">
        <x:v>Tools</x:v>
      </x:c>
      <x:c r="B171" s="23" t="str">
        <x:v>shaker</x:v>
      </x:c>
      <x:c r="C171" s="23" t="str">
        <x:v>name_ko</x:v>
      </x:c>
      <x:c r="D171" s="23" t="str">
        <x:v>name_en</x:v>
      </x:c>
      <x:c r="E171" s="23" t="str">
        <x:f>Tools!B2</x:f>
        <x:v>셰이커</x:v>
      </x:c>
      <x:c r="F171" s="23" t="str">
        <x:f>Tools!C2</x:f>
        <x:v>Shaker</x:v>
      </x:c>
      <x:c r="G171" s="23" t="str">
        <x:f>IF(AND(E171&lt;&gt;"",F171&lt;&gt;""),"OK","MISSING")</x:f>
        <x:v>OK</x:v>
      </x:c>
    </x:row>
    <x:row r="172" ht="15" hidden="0" customHeight="1">
      <x:c r="A172" s="23" t="str">
        <x:v>Tools</x:v>
      </x:c>
      <x:c r="B172" s="23" t="str">
        <x:v>mixing_glass</x:v>
      </x:c>
      <x:c r="C172" s="23" t="str">
        <x:v>name_ko</x:v>
      </x:c>
      <x:c r="D172" s="23" t="str">
        <x:v>name_en</x:v>
      </x:c>
      <x:c r="E172" s="23" t="str">
        <x:f>Tools!B3</x:f>
        <x:v>믹싱 글라스와 바 스푼</x:v>
      </x:c>
      <x:c r="F172" s="23" t="str">
        <x:f>Tools!C3</x:f>
        <x:v>Mixing Glass &amp; Bar Spoon</x:v>
      </x:c>
      <x:c r="G172" s="23" t="str">
        <x:f>IF(AND(E172&lt;&gt;"",F172&lt;&gt;""),"OK","MISSING")</x:f>
        <x:v>OK</x:v>
      </x:c>
    </x:row>
    <x:row r="173" ht="15" hidden="0" customHeight="1">
      <x:c r="A173" s="23" t="str">
        <x:v>Garnishes</x:v>
      </x:c>
      <x:c r="B173" s="23" t="str">
        <x:v>olive</x:v>
      </x:c>
      <x:c r="C173" s="23" t="str">
        <x:v>name_ko</x:v>
      </x:c>
      <x:c r="D173" s="23" t="str">
        <x:v>name_en</x:v>
      </x:c>
      <x:c r="E173" s="23" t="str">
        <x:f>Garnishes!B2</x:f>
        <x:v>올리브</x:v>
      </x:c>
      <x:c r="F173" s="23" t="str">
        <x:f>Garnishes!C2</x:f>
        <x:v>Olive</x:v>
      </x:c>
      <x:c r="G173" s="23" t="str">
        <x:f>IF(AND(E173&lt;&gt;"",F173&lt;&gt;""),"OK","MISSING")</x:f>
        <x:v>OK</x:v>
      </x:c>
    </x:row>
    <x:row r="174" ht="15" hidden="0" customHeight="1">
      <x:c r="A174" s="23" t="str">
        <x:v>Garnishes</x:v>
      </x:c>
      <x:c r="B174" s="23" t="str">
        <x:v>lemon_slice</x:v>
      </x:c>
      <x:c r="C174" s="23" t="str">
        <x:v>name_ko</x:v>
      </x:c>
      <x:c r="D174" s="23" t="str">
        <x:v>name_en</x:v>
      </x:c>
      <x:c r="E174" s="23" t="str">
        <x:f>Garnishes!B3</x:f>
        <x:v>레몬 슬라이스</x:v>
      </x:c>
      <x:c r="F174" s="23" t="str">
        <x:f>Garnishes!C3</x:f>
        <x:v>Lemon Slice</x:v>
      </x:c>
      <x:c r="G174" s="23" t="str">
        <x:f>IF(AND(E174&lt;&gt;"",F174&lt;&gt;""),"OK","MISSING")</x:f>
        <x:v>OK</x:v>
      </x:c>
    </x:row>
    <x:row r="175" ht="15" hidden="0" customHeight="1">
      <x:c r="A175" s="23" t="str">
        <x:v>Garnishes</x:v>
      </x:c>
      <x:c r="B175" s="23" t="str">
        <x:v>lime_wedge</x:v>
      </x:c>
      <x:c r="C175" s="23" t="str">
        <x:v>name_ko</x:v>
      </x:c>
      <x:c r="D175" s="23" t="str">
        <x:v>name_en</x:v>
      </x:c>
      <x:c r="E175" s="23" t="str">
        <x:f>Garnishes!B4</x:f>
        <x:v>라임 웨지</x:v>
      </x:c>
      <x:c r="F175" s="23" t="str">
        <x:f>Garnishes!C4</x:f>
        <x:v>Lime Wedge</x:v>
      </x:c>
      <x:c r="G175" s="23" t="str">
        <x:f>IF(AND(E175&lt;&gt;"",F175&lt;&gt;""),"OK","MISSING")</x:f>
        <x:v>OK</x:v>
      </x:c>
    </x:row>
    <x:row r="176" ht="15" hidden="0" customHeight="1">
      <x:c r="A176" s="23" t="str">
        <x:v>Garnishes</x:v>
      </x:c>
      <x:c r="B176" s="23" t="str">
        <x:v>orange_slice</x:v>
      </x:c>
      <x:c r="C176" s="23" t="str">
        <x:v>name_ko</x:v>
      </x:c>
      <x:c r="D176" s="23" t="str">
        <x:v>name_en</x:v>
      </x:c>
      <x:c r="E176" s="23" t="str">
        <x:f>Garnishes!B5</x:f>
        <x:v>오렌지 슬라이스</x:v>
      </x:c>
      <x:c r="F176" s="23" t="str">
        <x:f>Garnishes!C5</x:f>
        <x:v>Orange Slice</x:v>
      </x:c>
      <x:c r="G176" s="23" t="str">
        <x:f>IF(AND(E176&lt;&gt;"",F176&lt;&gt;""),"OK","MISSING")</x:f>
        <x:v>OK</x:v>
      </x:c>
    </x:row>
    <x:row r="177" ht="15" hidden="0" customHeight="1">
      <x:c r="A177" s="23" t="str">
        <x:v>Garnishes</x:v>
      </x:c>
      <x:c r="B177" s="23" t="str">
        <x:v>cherry</x:v>
      </x:c>
      <x:c r="C177" s="23" t="str">
        <x:v>name_ko</x:v>
      </x:c>
      <x:c r="D177" s="23" t="str">
        <x:v>name_en</x:v>
      </x:c>
      <x:c r="E177" s="23" t="str">
        <x:f>Garnishes!B6</x:f>
        <x:v>체리</x:v>
      </x:c>
      <x:c r="F177" s="23" t="str">
        <x:f>Garnishes!C6</x:f>
        <x:v>Cherry</x:v>
      </x:c>
      <x:c r="G177" s="23" t="str">
        <x:f>IF(AND(E177&lt;&gt;"",F177&lt;&gt;""),"OK","MISSING")</x:f>
        <x:v>OK</x:v>
      </x:c>
    </x:row>
    <x:row r="178" ht="15" hidden="0" customHeight="1">
      <x:c r="A178" s="23" t="str">
        <x:v>Tags</x:v>
      </x:c>
      <x:c r="B178" s="23" t="str">
        <x:v>bitter</x:v>
      </x:c>
      <x:c r="C178" s="23" t="str">
        <x:v>name_ko</x:v>
      </x:c>
      <x:c r="D178" s="23" t="str">
        <x:v>name_en</x:v>
      </x:c>
      <x:c r="E178" s="23" t="str">
        <x:f>Tags!C2</x:f>
        <x:v>씁쓸한</x:v>
      </x:c>
      <x:c r="F178" s="23" t="str">
        <x:f>Tags!D2</x:f>
        <x:v>Bitter</x:v>
      </x:c>
      <x:c r="G178" s="23" t="str">
        <x:f>IF(AND(E178&lt;&gt;"",F178&lt;&gt;""),"OK","MISSING")</x:f>
        <x:v>OK</x:v>
      </x:c>
    </x:row>
    <x:row r="179" ht="15" hidden="0" customHeight="1">
      <x:c r="A179" s="23" t="str">
        <x:v>Tags</x:v>
      </x:c>
      <x:c r="B179" s="23" t="str">
        <x:v>classic</x:v>
      </x:c>
      <x:c r="C179" s="23" t="str">
        <x:v>name_ko</x:v>
      </x:c>
      <x:c r="D179" s="23" t="str">
        <x:v>name_en</x:v>
      </x:c>
      <x:c r="E179" s="23" t="str">
        <x:f>Tags!C3</x:f>
        <x:v>클래식</x:v>
      </x:c>
      <x:c r="F179" s="23" t="str">
        <x:f>Tags!D3</x:f>
        <x:v>Classic</x:v>
      </x:c>
      <x:c r="G179" s="23" t="str">
        <x:f>IF(AND(E179&lt;&gt;"",F179&lt;&gt;""),"OK","MISSING")</x:f>
        <x:v>OK</x:v>
      </x:c>
    </x:row>
    <x:row r="180" ht="15" hidden="0" customHeight="1">
      <x:c r="A180" s="23" t="str">
        <x:v>Tags</x:v>
      </x:c>
      <x:c r="B180" s="23" t="str">
        <x:v>strong</x:v>
      </x:c>
      <x:c r="C180" s="23" t="str">
        <x:v>name_ko</x:v>
      </x:c>
      <x:c r="D180" s="23" t="str">
        <x:v>name_en</x:v>
      </x:c>
      <x:c r="E180" s="23" t="str">
        <x:f>Tags!C4</x:f>
        <x:v>독한</x:v>
      </x:c>
      <x:c r="F180" s="23" t="str">
        <x:f>Tags!D4</x:f>
        <x:v>Strong</x:v>
      </x:c>
      <x:c r="G180" s="23" t="str">
        <x:f>IF(AND(E180&lt;&gt;"",F180&lt;&gt;""),"OK","MISSING")</x:f>
        <x:v>OK</x:v>
      </x:c>
    </x:row>
    <x:row r="181" ht="15" hidden="0" customHeight="1">
      <x:c r="A181" s="23" t="str">
        <x:v>Tags</x:v>
      </x:c>
      <x:c r="B181" s="23" t="str">
        <x:v>fresh</x:v>
      </x:c>
      <x:c r="C181" s="23" t="str">
        <x:v>name_ko</x:v>
      </x:c>
      <x:c r="D181" s="23" t="str">
        <x:v>name_en</x:v>
      </x:c>
      <x:c r="E181" s="23" t="str">
        <x:f>Tags!C5</x:f>
        <x:v>상큼한</x:v>
      </x:c>
      <x:c r="F181" s="23" t="str">
        <x:f>Tags!D5</x:f>
        <x:v>Fresh</x:v>
      </x:c>
      <x:c r="G181" s="23" t="str">
        <x:f>IF(AND(E181&lt;&gt;"",F181&lt;&gt;""),"OK","MISSING")</x:f>
        <x:v>OK</x:v>
      </x:c>
    </x:row>
    <x:row r="182" ht="15" hidden="0" customHeight="1">
      <x:c r="A182" s="23" t="str">
        <x:v>Tags</x:v>
      </x:c>
      <x:c r="B182" s="23" t="str">
        <x:v>smooth</x:v>
      </x:c>
      <x:c r="C182" s="23" t="str">
        <x:v>name_ko</x:v>
      </x:c>
      <x:c r="D182" s="23" t="str">
        <x:v>name_en</x:v>
      </x:c>
      <x:c r="E182" s="23" t="str">
        <x:f>Tags!C6</x:f>
        <x:v>부드러운</x:v>
      </x:c>
      <x:c r="F182" s="23" t="str">
        <x:f>Tags!D6</x:f>
        <x:v>Smooth</x:v>
      </x:c>
      <x:c r="G182" s="23" t="str">
        <x:f>IF(AND(E182&lt;&gt;"",F182&lt;&gt;""),"OK","MISSING")</x:f>
        <x:v>OK</x:v>
      </x:c>
    </x:row>
    <x:row r="183" ht="15" hidden="0" customHeight="1">
      <x:c r="A183" s="23" t="str">
        <x:v>Tags</x:v>
      </x:c>
      <x:c r="B183" s="23" t="str">
        <x:v>crisp</x:v>
      </x:c>
      <x:c r="C183" s="23" t="str">
        <x:v>name_ko</x:v>
      </x:c>
      <x:c r="D183" s="23" t="str">
        <x:v>name_en</x:v>
      </x:c>
      <x:c r="E183" s="23" t="str">
        <x:f>Tags!C7</x:f>
        <x:v>청량한</x:v>
      </x:c>
      <x:c r="F183" s="23" t="str">
        <x:f>Tags!D7</x:f>
        <x:v>Crisp</x:v>
      </x:c>
      <x:c r="G183" s="23" t="str">
        <x:f>IF(AND(E183&lt;&gt;"",F183&lt;&gt;""),"OK","MISSING")</x:f>
        <x:v>OK</x:v>
      </x:c>
    </x:row>
    <x:row r="184" ht="15" hidden="0" customHeight="1">
      <x:c r="A184" s="23" t="str">
        <x:v>Tags</x:v>
      </x:c>
      <x:c r="B184" s="23" t="str">
        <x:v>sweet</x:v>
      </x:c>
      <x:c r="C184" s="23" t="str">
        <x:v>name_ko</x:v>
      </x:c>
      <x:c r="D184" s="23" t="str">
        <x:v>name_en</x:v>
      </x:c>
      <x:c r="E184" s="23" t="str">
        <x:f>Tags!C8</x:f>
        <x:v>달콤한</x:v>
      </x:c>
      <x:c r="F184" s="23" t="str">
        <x:f>Tags!D8</x:f>
        <x:v>Sweet</x:v>
      </x:c>
      <x:c r="G184" s="23" t="str">
        <x:f>IF(AND(E184&lt;&gt;"",F184&lt;&gt;""),"OK","MISSING")</x:f>
        <x:v>OK</x:v>
      </x:c>
    </x:row>
    <x:row r="185" ht="15" hidden="0" customHeight="1">
      <x:c r="A185" s="23" t="str">
        <x:v>Tags</x:v>
      </x:c>
      <x:c r="B185" s="23" t="str">
        <x:v>full_bodied</x:v>
      </x:c>
      <x:c r="C185" s="23" t="str">
        <x:v>name_ko</x:v>
      </x:c>
      <x:c r="D185" s="23" t="str">
        <x:v>name_en</x:v>
      </x:c>
      <x:c r="E185" s="23" t="str">
        <x:f>Tags!C9</x:f>
        <x:v>묵직한</x:v>
      </x:c>
      <x:c r="F185" s="23" t="str">
        <x:f>Tags!D9</x:f>
        <x:v>Full-bodied</x:v>
      </x:c>
      <x:c r="G185" s="23" t="str">
        <x:f>IF(AND(E185&lt;&gt;"",F185&lt;&gt;""),"OK","MISSING")</x:f>
        <x:v>OK</x:v>
      </x:c>
    </x:row>
    <x:row r="186" ht="15" hidden="0" customHeight="1">
      <x:c r="A186" s="23" t="str">
        <x:v>Tags</x:v>
      </x:c>
      <x:c r="B186" s="23" t="str">
        <x:v>light</x:v>
      </x:c>
      <x:c r="C186" s="23" t="str">
        <x:v>name_ko</x:v>
      </x:c>
      <x:c r="D186" s="23" t="str">
        <x:v>name_en</x:v>
      </x:c>
      <x:c r="E186" s="23" t="str">
        <x:f>Tags!C10</x:f>
        <x:v>가벼운</x:v>
      </x:c>
      <x:c r="F186" s="23" t="str">
        <x:f>Tags!D10</x:f>
        <x:v>Light</x:v>
      </x:c>
      <x:c r="G186" s="23" t="str">
        <x:f>IF(AND(E186&lt;&gt;"",F186&lt;&gt;""),"OK","MISSING")</x:f>
        <x:v>OK</x:v>
      </x:c>
    </x:row>
    <x:row r="187" ht="15" hidden="0" customHeight="1">
      <x:c r="A187" s="23" t="str">
        <x:v>Tags</x:v>
      </x:c>
      <x:c r="B187" s="23" t="str">
        <x:v>bright</x:v>
      </x:c>
      <x:c r="C187" s="23" t="str">
        <x:v>name_ko</x:v>
      </x:c>
      <x:c r="D187" s="23" t="str">
        <x:v>name_en</x:v>
      </x:c>
      <x:c r="E187" s="23" t="str">
        <x:f>Tags!C11</x:f>
        <x:v>화사한</x:v>
      </x:c>
      <x:c r="F187" s="23" t="str">
        <x:f>Tags!D11</x:f>
        <x:v>Bright</x:v>
      </x:c>
      <x:c r="G187" s="23" t="str">
        <x:f>IF(AND(E187&lt;&gt;"",F187&lt;&gt;""),"OK","MISSING")</x:f>
        <x:v>OK</x:v>
      </x:c>
    </x:row>
    <x:row r="188" ht="15" hidden="0" customHeight="1">
      <x:c r="A188" s="23" t="str">
        <x:v>Tags</x:v>
      </x:c>
      <x:c r="B188" s="23" t="str">
        <x:v>spicy</x:v>
      </x:c>
      <x:c r="C188" s="23" t="str">
        <x:v>name_ko</x:v>
      </x:c>
      <x:c r="D188" s="23" t="str">
        <x:v>name_en</x:v>
      </x:c>
      <x:c r="E188" s="23" t="str">
        <x:f>Tags!C12</x:f>
        <x:v>알싸한</x:v>
      </x:c>
      <x:c r="F188" s="23" t="str">
        <x:f>Tags!D12</x:f>
        <x:v>Spicy</x:v>
      </x:c>
      <x:c r="G188" s="23" t="str">
        <x:f>IF(AND(E188&lt;&gt;"",F188&lt;&gt;""),"OK","MISSING")</x:f>
        <x:v>OK</x:v>
      </x:c>
    </x:row>
    <x:row r="189" ht="15" hidden="0" customHeight="1">
      <x:c r="A189" s="23" t="str">
        <x:v>Tags</x:v>
      </x:c>
      <x:c r="B189" s="23" t="str">
        <x:v>tart</x:v>
      </x:c>
      <x:c r="C189" s="23" t="str">
        <x:v>name_ko</x:v>
      </x:c>
      <x:c r="D189" s="23" t="str">
        <x:v>name_en</x:v>
      </x:c>
      <x:c r="E189" s="23" t="str">
        <x:f>Tags!C13</x:f>
        <x:v>새콤한</x:v>
      </x:c>
      <x:c r="F189" s="23" t="str">
        <x:f>Tags!D13</x:f>
        <x:v>Tart</x:v>
      </x:c>
      <x:c r="G189" s="23" t="str">
        <x:f>IF(AND(E189&lt;&gt;"",F189&lt;&gt;""),"OK","MISSING")</x:f>
        <x:v>OK</x:v>
      </x:c>
    </x:row>
    <x:row r="190" ht="15" hidden="0" customHeight="1">
      <x:c r="A190" s="23" t="str">
        <x:v>Tags</x:v>
      </x:c>
      <x:c r="B190" s="23" t="str">
        <x:v>elegant</x:v>
      </x:c>
      <x:c r="C190" s="23" t="str">
        <x:v>name_ko</x:v>
      </x:c>
      <x:c r="D190" s="23" t="str">
        <x:v>name_en</x:v>
      </x:c>
      <x:c r="E190" s="23" t="str">
        <x:f>Tags!C14</x:f>
        <x:v>우아한</x:v>
      </x:c>
      <x:c r="F190" s="23" t="str">
        <x:f>Tags!D14</x:f>
        <x:v>Elegant</x:v>
      </x:c>
      <x:c r="G190" s="23" t="str">
        <x:f>IF(AND(E190&lt;&gt;"",F190&lt;&gt;""),"OK","MISSING")</x:f>
        <x:v>OK</x:v>
      </x:c>
    </x:row>
    <x:row r="191" ht="15" hidden="0" customHeight="1">
      <x:c r="A191" s="23" t="str">
        <x:v>Tags</x:v>
      </x:c>
      <x:c r="B191" s="23" t="str">
        <x:v>coffee</x:v>
      </x:c>
      <x:c r="C191" s="23" t="str">
        <x:v>name_ko</x:v>
      </x:c>
      <x:c r="D191" s="23" t="str">
        <x:v>name_en</x:v>
      </x:c>
      <x:c r="E191" s="23" t="str">
        <x:f>Tags!C15</x:f>
        <x:v>커피</x:v>
      </x:c>
      <x:c r="F191" s="23" t="str">
        <x:f>Tags!D15</x:f>
        <x:v>Coffee</x:v>
      </x:c>
      <x:c r="G191" s="23" t="str">
        <x:f>IF(AND(E191&lt;&gt;"",F191&lt;&gt;""),"OK","MISSING")</x:f>
        <x:v>OK</x:v>
      </x:c>
    </x:row>
    <x:row r="192" ht="15" hidden="0" customHeight="1">
      <x:c r="A192" s="23" t="str">
        <x:v>Tags</x:v>
      </x:c>
      <x:c r="B192" s="23" t="str">
        <x:v>tropical_fruit</x:v>
      </x:c>
      <x:c r="C192" s="23" t="str">
        <x:v>name_ko</x:v>
      </x:c>
      <x:c r="D192" s="23" t="str">
        <x:v>name_en</x:v>
      </x:c>
      <x:c r="E192" s="23" t="str">
        <x:f>Tags!C16</x:f>
        <x:v>열대과일</x:v>
      </x:c>
      <x:c r="F192" s="23" t="str">
        <x:f>Tags!D16</x:f>
        <x:v>Tropical Fruit</x:v>
      </x:c>
      <x:c r="G192" s="23" t="str">
        <x:f>IF(AND(E192&lt;&gt;"",F192&lt;&gt;""),"OK","MISSING")</x:f>
        <x:v>OK</x:v>
      </x:c>
    </x:row>
    <x:row r="193" ht="15" hidden="0" customHeight="1">
      <x:c r="A193" s="23" t="str">
        <x:v>Tags</x:v>
      </x:c>
      <x:c r="B193" s="23" t="str">
        <x:v>mint</x:v>
      </x:c>
      <x:c r="C193" s="23" t="str">
        <x:v>name_ko</x:v>
      </x:c>
      <x:c r="D193" s="23" t="str">
        <x:v>name_en</x:v>
      </x:c>
      <x:c r="E193" s="23" t="str">
        <x:f>Tags!C17</x:f>
        <x:v>민트</x:v>
      </x:c>
      <x:c r="F193" s="23" t="str">
        <x:f>Tags!D17</x:f>
        <x:v>Mint</x:v>
      </x:c>
      <x:c r="G193" s="23" t="str">
        <x:f>IF(AND(E193&lt;&gt;"",F193&lt;&gt;""),"OK","MISSING")</x:f>
        <x:v>OK</x:v>
      </x:c>
    </x:row>
    <x:row r="194" ht="15" hidden="0" customHeight="1">
      <x:c r="A194" s="23" t="str">
        <x:v>GradeRules</x:v>
      </x:c>
      <x:c r="B194" s="23" t="str">
        <x:v>excellent</x:v>
      </x:c>
      <x:c r="C194" s="23" t="str">
        <x:v>label_ko</x:v>
      </x:c>
      <x:c r="D194" s="23" t="str">
        <x:v>label_en</x:v>
      </x:c>
      <x:c r="E194" s="23" t="str">
        <x:f>GradeRules!B2</x:f>
        <x:v>완벽</x:v>
      </x:c>
      <x:c r="F194" s="23" t="str">
        <x:f>GradeRules!C2</x:f>
        <x:v>Excellent</x:v>
      </x:c>
      <x:c r="G194" s="23" t="str">
        <x:f>IF(AND(E194&lt;&gt;"",F194&lt;&gt;""),"OK","MISSING")</x:f>
        <x:v>OK</x:v>
      </x:c>
    </x:row>
    <x:row r="195" ht="15" hidden="0" customHeight="1">
      <x:c r="A195" s="23" t="str">
        <x:v>GradeRules</x:v>
      </x:c>
      <x:c r="B195" s="23" t="str">
        <x:v>good</x:v>
      </x:c>
      <x:c r="C195" s="23" t="str">
        <x:v>label_ko</x:v>
      </x:c>
      <x:c r="D195" s="23" t="str">
        <x:v>label_en</x:v>
      </x:c>
      <x:c r="E195" s="23" t="str">
        <x:f>GradeRules!B3</x:f>
        <x:v>좋음</x:v>
      </x:c>
      <x:c r="F195" s="23" t="str">
        <x:f>GradeRules!C3</x:f>
        <x:v>Good</x:v>
      </x:c>
      <x:c r="G195" s="23" t="str">
        <x:f>IF(AND(E195&lt;&gt;"",F195&lt;&gt;""),"OK","MISSING")</x:f>
        <x:v>OK</x:v>
      </x:c>
    </x:row>
    <x:row r="196" ht="15" hidden="0" customHeight="1">
      <x:c r="A196" s="23" t="str">
        <x:v>GradeRules</x:v>
      </x:c>
      <x:c r="B196" s="23" t="str">
        <x:v>decent</x:v>
      </x:c>
      <x:c r="C196" s="23" t="str">
        <x:v>label_ko</x:v>
      </x:c>
      <x:c r="D196" s="23" t="str">
        <x:v>label_en</x:v>
      </x:c>
      <x:c r="E196" s="23" t="str">
        <x:f>GradeRules!B4</x:f>
        <x:v>보통</x:v>
      </x:c>
      <x:c r="F196" s="23" t="str">
        <x:f>GradeRules!C4</x:f>
        <x:v>Decent</x:v>
      </x:c>
      <x:c r="G196" s="23" t="str">
        <x:f>IF(AND(E196&lt;&gt;"",F196&lt;&gt;""),"OK","MISSING")</x:f>
        <x:v>OK</x:v>
      </x:c>
    </x:row>
    <x:row r="197" ht="15" hidden="0" customHeight="1">
      <x:c r="A197" s="23" t="str">
        <x:v>GradeRules</x:v>
      </x:c>
      <x:c r="B197" s="23" t="str">
        <x:v>poor</x:v>
      </x:c>
      <x:c r="C197" s="23" t="str">
        <x:v>label_ko</x:v>
      </x:c>
      <x:c r="D197" s="23" t="str">
        <x:v>label_en</x:v>
      </x:c>
      <x:c r="E197" s="23" t="str">
        <x:f>GradeRules!B5</x:f>
        <x:v>부족</x:v>
      </x:c>
      <x:c r="F197" s="23" t="str">
        <x:f>GradeRules!C5</x:f>
        <x:v>Poor</x:v>
      </x:c>
      <x:c r="G197" s="23" t="str">
        <x:f>IF(AND(E197&lt;&gt;"",F197&lt;&gt;""),"OK","MISSING")</x:f>
        <x:v>OK</x:v>
      </x:c>
    </x:row>
    <x:row r="198" ht="15" hidden="0" customHeight="1">
      <x:c r="A198" s="23" t="str">
        <x:v>GradeRules</x:v>
      </x:c>
      <x:c r="B198" s="23" t="str">
        <x:v>sewage</x:v>
      </x:c>
      <x:c r="C198" s="23" t="str">
        <x:v>label_ko</x:v>
      </x:c>
      <x:c r="D198" s="23" t="str">
        <x:v>label_en</x:v>
      </x:c>
      <x:c r="E198" s="23" t="str">
        <x:f>GradeRules!B6</x:f>
        <x:v>오물</x:v>
      </x:c>
      <x:c r="F198" s="23" t="str">
        <x:f>GradeRules!C6</x:f>
        <x:v>Sewage</x:v>
      </x:c>
      <x:c r="G198" s="23" t="str">
        <x:f>IF(AND(E198&lt;&gt;"",F198&lt;&gt;""),"OK","MISSING")</x:f>
        <x:v>OK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42" hidden="0" customWidth="1"/>
  </x:cols>
  <x:sheetData>
    <x:row r="1">
      <x:c r="A1" s="29" t="str">
        <x:v>v2 Data Quality Summary</x:v>
      </x:c>
      <x:c r="B1" s="29"/>
      <x:c r="C1" s="29"/>
      <x:c r="D1" s="29"/>
    </x:row>
    <x:row r="2">
      <x:c r="A2" s="29"/>
      <x:c r="B2" s="29"/>
      <x:c r="C2" s="29"/>
      <x:c r="D2" s="29"/>
    </x:row>
    <x:row r="4">
      <x:c r="A4" s="10" t="str">
        <x:v>Check</x:v>
      </x:c>
      <x:c r="B4" s="10" t="str">
        <x:v>Count</x:v>
      </x:c>
      <x:c r="C4" s="10" t="str">
        <x:v>Acceptance</x:v>
      </x:c>
    </x:row>
    <x:row r="5">
      <x:c r="A5" s="11" t="str">
        <x:v>English localization missing</x:v>
      </x:c>
      <x:c r="B5" s="11" t="n">
        <x:f>COUNTIF(LocalizationQA!$G$2:$G$198,"MISSING")</x:f>
        <x:v>0</x:v>
      </x:c>
      <x:c r="C5" s="11" t="str">
        <x:v>0 required</x:v>
      </x:c>
    </x:row>
    <x:row r="6">
      <x:c r="A6" s="11" t="str">
        <x:v>Cocktail duplicate IDs</x:v>
      </x:c>
      <x:c r="B6" s="11" t="n">
        <x:f>COUNTIF(Cocktails!$Z$2:$Z$30,"DUPLICATE")</x:f>
        <x:v>0</x:v>
      </x:c>
      <x:c r="C6" s="11" t="str">
        <x:v>0 required</x:v>
      </x:c>
    </x:row>
    <x:row r="7">
      <x:c r="A7" s="11" t="str">
        <x:v>Cocktail localization errors</x:v>
      </x:c>
      <x:c r="B7" s="11" t="n">
        <x:f>COUNTIF(Cocktails!$AA$2:$AA$30,"MISSING")</x:f>
        <x:v>0</x:v>
      </x:c>
      <x:c r="C7" s="11" t="str">
        <x:v>0 required</x:v>
      </x:c>
    </x:row>
    <x:row r="8">
      <x:c r="A8" s="11" t="str">
        <x:v>Cocktail bad master references</x:v>
      </x:c>
      <x:c r="B8" s="11" t="n">
        <x:f>COUNTIF(Cocktails!$AB$2:$AD$30,"BAD_FK")</x:f>
        <x:v>0</x:v>
      </x:c>
      <x:c r="C8" s="11" t="str">
        <x:v>0 required</x:v>
      </x:c>
    </x:row>
    <x:row r="9">
      <x:c r="A9" s="11" t="str">
        <x:v>Ingredient duplicate IDs</x:v>
      </x:c>
      <x:c r="B9" s="11" t="n">
        <x:f>COUNTIF(Ingredients!$P$2:$P$39,"DUPLICATE")</x:f>
        <x:v>0</x:v>
      </x:c>
      <x:c r="C9" s="11" t="str">
        <x:v>0 required</x:v>
      </x:c>
    </x:row>
    <x:row r="10">
      <x:c r="A10" s="11" t="str">
        <x:v>Ingredient localization errors</x:v>
      </x:c>
      <x:c r="B10" s="11" t="n">
        <x:f>COUNTIF(Ingredients!$Q$2:$Q$39,"MISSING")</x:f>
        <x:v>0</x:v>
      </x:c>
      <x:c r="C10" s="11" t="str">
        <x:v>0 required</x:v>
      </x:c>
    </x:row>
    <x:row r="11">
      <x:c r="A11" s="11" t="str">
        <x:v>Recipe bad cocktail references</x:v>
      </x:c>
      <x:c r="B11" s="11" t="n">
        <x:f>COUNTIF(RecipeSteps!$Q$2:$Q$84,"BAD_FK")</x:f>
        <x:v>0</x:v>
      </x:c>
      <x:c r="C11" s="11" t="str">
        <x:v>0 required</x:v>
      </x:c>
    </x:row>
    <x:row r="12">
      <x:c r="A12" s="11" t="str">
        <x:v>Recipe bad ingredient references</x:v>
      </x:c>
      <x:c r="B12" s="11" t="n">
        <x:f>COUNTIF(RecipeSteps!$R$2:$R$84,"BAD_FK")</x:f>
        <x:v>0</x:v>
      </x:c>
      <x:c r="C12" s="11" t="str">
        <x:v>0 required</x:v>
      </x:c>
    </x:row>
    <x:row r="13">
      <x:c r="A13" s="11" t="str">
        <x:v>Recipe quantities still TBD</x:v>
      </x:c>
      <x:c r="B13" s="11" t="n">
        <x:f>COUNTIF(RecipeSteps!$S$2:$S$84,"TBD")</x:f>
        <x:v>36</x:v>
      </x:c>
      <x:c r="C13" s="11" t="str">
        <x:v>Warning until recipe balance is final</x:v>
      </x:c>
    </x:row>
    <x:row r="14">
      <x:c r="A14" s="11" t="str">
        <x:v>Cocktails needing recipe review</x:v>
      </x:c>
      <x:c r="B14" s="11" t="n">
        <x:f>COUNTIF(Cocktails!$X$2:$X$30,"NEEDS_RECIPE")</x:f>
        <x:v>13</x:v>
      </x:c>
      <x:c r="C14" s="11" t="str">
        <x:v>Warning until recipe balance is final</x:v>
      </x:c>
    </x:row>
  </x:sheetData>
  <x:mergeCells>
    <x:mergeCell ref="A1:D2"/>
  </x:mergeCells>
  <x:pageMargins left="0.7" right="0.7" top="0.75" bottom="0.75" header="0.3" footer="0.3"/>
</x:worksheet>
</file>